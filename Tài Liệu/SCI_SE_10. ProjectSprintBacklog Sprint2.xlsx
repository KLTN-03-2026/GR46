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5BDC539-DC34-4783-B8CB-CA348FE5A7D1}" xr6:coauthVersionLast="36" xr6:coauthVersionMax="36" xr10:uidLastSave="{00000000-0000-0000-0000-000000000000}"/>
  <bookViews>
    <workbookView xWindow="0" yWindow="0" windowWidth="23040" windowHeight="8940" xr2:uid="{2718CEBE-CACE-44CF-A488-785B0F8BB60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00" i="1" l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G100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0" i="1"/>
  <c r="G69" i="1"/>
  <c r="G68" i="1"/>
  <c r="G67" i="1"/>
  <c r="G65" i="1"/>
  <c r="G64" i="1"/>
  <c r="G63" i="1"/>
  <c r="G62" i="1"/>
  <c r="G61" i="1"/>
  <c r="G60" i="1"/>
  <c r="G58" i="1"/>
  <c r="G57" i="1"/>
  <c r="G56" i="1"/>
  <c r="G55" i="1"/>
  <c r="G54" i="1"/>
  <c r="G53" i="1"/>
  <c r="G52" i="1"/>
  <c r="G51" i="1"/>
  <c r="G50" i="1"/>
  <c r="G48" i="1"/>
  <c r="G47" i="1"/>
  <c r="G46" i="1"/>
  <c r="G45" i="1"/>
  <c r="G44" i="1"/>
  <c r="G43" i="1"/>
  <c r="G41" i="1"/>
  <c r="G40" i="1"/>
  <c r="G39" i="1"/>
  <c r="G38" i="1"/>
  <c r="G37" i="1"/>
  <c r="G35" i="1"/>
  <c r="G34" i="1"/>
  <c r="G33" i="1"/>
  <c r="G32" i="1"/>
  <c r="G31" i="1"/>
  <c r="D10" i="1" s="1"/>
  <c r="G30" i="1"/>
  <c r="G29" i="1"/>
  <c r="G28" i="1"/>
  <c r="G27" i="1"/>
  <c r="D11" i="1" s="1"/>
  <c r="G26" i="1"/>
  <c r="G25" i="1"/>
  <c r="G24" i="1"/>
  <c r="G23" i="1"/>
  <c r="G22" i="1"/>
  <c r="G21" i="1"/>
  <c r="G20" i="1"/>
  <c r="D9" i="1" s="1"/>
  <c r="G19" i="1"/>
  <c r="G18" i="1"/>
  <c r="G17" i="1"/>
  <c r="G16" i="1"/>
  <c r="G99" i="1" s="1"/>
  <c r="E12" i="1"/>
  <c r="D12" i="1"/>
  <c r="E11" i="1"/>
  <c r="E10" i="1"/>
  <c r="E9" i="1"/>
  <c r="E8" i="1"/>
  <c r="E13" i="1" s="1"/>
  <c r="D8" i="1"/>
  <c r="D13" i="1" l="1"/>
</calcChain>
</file>

<file path=xl/sharedStrings.xml><?xml version="1.0" encoding="utf-8"?>
<sst xmlns="http://schemas.openxmlformats.org/spreadsheetml/2006/main" count="191" uniqueCount="116">
  <si>
    <t>Project name:</t>
  </si>
  <si>
    <t>Xây dựng hệ thống DishNet - Nền tảng mạng xã hội kinh doanh ẩm thực</t>
  </si>
  <si>
    <t>Module name:</t>
  </si>
  <si>
    <t>Sprint 2</t>
  </si>
  <si>
    <t>Start date:</t>
  </si>
  <si>
    <t>Kết thúc đúng hạn</t>
  </si>
  <si>
    <t>End date:</t>
  </si>
  <si>
    <t>Muộn</t>
  </si>
  <si>
    <t>Trước thời hạn</t>
  </si>
  <si>
    <t>SPRINT 2 REPORT</t>
  </si>
  <si>
    <t>No</t>
  </si>
  <si>
    <t>Thành viên</t>
  </si>
  <si>
    <t>Thực tế</t>
  </si>
  <si>
    <t>Ước tính</t>
  </si>
  <si>
    <t>Lê Văn Cường</t>
  </si>
  <si>
    <t>Phạm Đình Vân Ly</t>
  </si>
  <si>
    <t>Phan Thị Lệ Thi</t>
  </si>
  <si>
    <t>Huỳnh Thị Vy</t>
  </si>
  <si>
    <t>Trần Thị Mai Yên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</si>
  <si>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</si>
  <si>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</si>
  <si>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</si>
  <si>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</si>
  <si>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</si>
  <si>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</si>
  <si>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</si>
  <si>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2</t>
  </si>
  <si>
    <t>Yên, Ly</t>
  </si>
  <si>
    <t>Tạo tài liệu kiểm thử cho Sprint</t>
  </si>
  <si>
    <t>Vy, Thi, Cường</t>
  </si>
  <si>
    <t>User interface design</t>
  </si>
  <si>
    <t>Quản lý yêu cầu hỗ trợ</t>
  </si>
  <si>
    <t>Cường</t>
  </si>
  <si>
    <t>Quản lý báo cáo/ khiếu nại</t>
  </si>
  <si>
    <t>Ly</t>
  </si>
  <si>
    <t>Tổng quan cửa hàng</t>
  </si>
  <si>
    <t>Thi</t>
  </si>
  <si>
    <t>Quản lý doanh thu cửa hàng</t>
  </si>
  <si>
    <t>Vy</t>
  </si>
  <si>
    <t>Quản lý menu cửa hàng</t>
  </si>
  <si>
    <t>Yên</t>
  </si>
  <si>
    <t>Quản lý đơn hàng của cửa hàng</t>
  </si>
  <si>
    <t>Quản lý khuyến mãi cửa hàng</t>
  </si>
  <si>
    <t>Tìm kiếm</t>
  </si>
  <si>
    <t>Hồ sơ cá nhân</t>
  </si>
  <si>
    <t>Tương tác bài viết</t>
  </si>
  <si>
    <t>Review all user interfaces of sprint 2</t>
  </si>
  <si>
    <t>Design test case</t>
  </si>
  <si>
    <t>Thiết kế trường kiểm thử cho quản lý yêu cầu hỗ trợ</t>
  </si>
  <si>
    <t>Thiết kế trường kiểm thử cho quản lý báo cáo/ khiếu nại</t>
  </si>
  <si>
    <t xml:space="preserve">Thiết kế trường kiểm thử cho tổng quan cửa hàng </t>
  </si>
  <si>
    <t>Thiết kế trường kiểm thử cho quản lý doanh thu cửa hàng</t>
  </si>
  <si>
    <t>Thiết kế trường kiểm thử cho quản lý menu cửa hàng</t>
  </si>
  <si>
    <t>Thiết kế trường kiểm thử cho quản lý đơn hàng của cửa hàng</t>
  </si>
  <si>
    <t>Thiết kế trường kiểm thử cho quản lý khuyến mãi cửa hàng</t>
  </si>
  <si>
    <t>Thiết kế trường kiểm thử cho tìm kiếm</t>
  </si>
  <si>
    <t>Thiết kế trường kiểm thử cho hồ sơ cá nhân</t>
  </si>
  <si>
    <t>Thiết kế trường kiểm thử cho tương tác bài viết</t>
  </si>
  <si>
    <t>Review all test case of sprint 2</t>
  </si>
  <si>
    <t>Coding</t>
  </si>
  <si>
    <t>Thiết kế front-end quản lý yêu cầu hỗ trợ</t>
  </si>
  <si>
    <t>Thiết kế front-end quản lý báo cáo/ khiếu nại</t>
  </si>
  <si>
    <t>Thiết kế front-end tổng quan cửa hàng</t>
  </si>
  <si>
    <t>Thiết kế front-end quản lý doanh thu cửa hàng</t>
  </si>
  <si>
    <t>Thiết kế front-end quản lý menu cửa hàng</t>
  </si>
  <si>
    <t>Thiết kế front-end quản lý đơn hàng của cửa hàng</t>
  </si>
  <si>
    <t>Thiết kế front-end quản lý khuyến mãi cửa hàng</t>
  </si>
  <si>
    <t>Thiết kế front-end tìm kiếm</t>
  </si>
  <si>
    <t>Thiết kế front-end hồ sơ cá nhân</t>
  </si>
  <si>
    <t>Thiết kế front-end tương tác bài viết</t>
  </si>
  <si>
    <t>Code back-end quản lý yêu cầu hỗ trợ</t>
  </si>
  <si>
    <t>Code back-end quản lý báo cáo/ khiếu nại</t>
  </si>
  <si>
    <t>Code back-end tổng quan cửa hàng</t>
  </si>
  <si>
    <t>Code back-end quản lý doanh thu cửa hàng</t>
  </si>
  <si>
    <t>Code back-end quản lý menu cửa hàng</t>
  </si>
  <si>
    <t>Code back-end quản lý đơn hàng của cửa hàng</t>
  </si>
  <si>
    <t>Code back-end quản lý khuyến mãi cửa hàng</t>
  </si>
  <si>
    <t>Code back-end tìm kiếm</t>
  </si>
  <si>
    <t>Code back-end hồ sơ cá nhân</t>
  </si>
  <si>
    <t>Code back-end tương tác bài viết</t>
  </si>
  <si>
    <t xml:space="preserve">Integrate code </t>
  </si>
  <si>
    <t>Testing</t>
  </si>
  <si>
    <t>Kiểm tra quản lý yêu cầu hỗ trợ</t>
  </si>
  <si>
    <t>Kiểm tra quản lý báo cáo/ khiếu nại</t>
  </si>
  <si>
    <t>Kiểm tra tổng quan cửa hàng</t>
  </si>
  <si>
    <t>Kiểm tra quản lý doanh thu cửa hàng</t>
  </si>
  <si>
    <t>Kiểm tra quản lý menu cửa hàng</t>
  </si>
  <si>
    <t>Kiểm tra quản lý đơn hàng của cửa hàng</t>
  </si>
  <si>
    <t>Kiểm tra quản lý khuyến mãi cửa hàng</t>
  </si>
  <si>
    <t>Kiểm tra tìm kiếm</t>
  </si>
  <si>
    <t>Kiểm tra quản lý hồ sơ cá nhân, tương tác bài viết</t>
  </si>
  <si>
    <t>Fix bug</t>
  </si>
  <si>
    <t>Sửa lỗi quản lý yêu cầu hỗ trợ</t>
  </si>
  <si>
    <t>Sửa lỗi quản lý báo cáo/ khiếu nại</t>
  </si>
  <si>
    <t>Sửa lỗi tổng quan cửa hàng</t>
  </si>
  <si>
    <t>Sửa lỗi quản lý doanh thu cửa hàng</t>
  </si>
  <si>
    <t>Sửa lỗi quản lý menu cửa hàng</t>
  </si>
  <si>
    <t>Sửa lỗi quản lý đơn hàng của cửa hàng</t>
  </si>
  <si>
    <t>Sửa lỗi quản lý khuyến mãi cửa hàng</t>
  </si>
  <si>
    <t>Sửa lỗi tìm kiếm</t>
  </si>
  <si>
    <t>Sửa lỗi quản lý hồ sơ cá nhân</t>
  </si>
  <si>
    <t>Sửa lỗi tương tác bài viết</t>
  </si>
  <si>
    <t>Re-testing</t>
  </si>
  <si>
    <t>Kiểm tra lại quản lý yêu cầu hỗ trợ</t>
  </si>
  <si>
    <t>Kiểm tra lại quản lý báo cáo/ khiếu nại</t>
  </si>
  <si>
    <t>Kiểm tra lại tổng quan cửa hàng</t>
  </si>
  <si>
    <t>Kiểm tra lại quản lý doanh thu cửa hàng</t>
  </si>
  <si>
    <t>Kiểm tra lại quản lý menu cửa hàng</t>
  </si>
  <si>
    <t>Kiểm tra lại quản lý đơn hàng của cửa hàng</t>
  </si>
  <si>
    <t>Kiểm tra lại quản lý khuyến mãi cửa hàng</t>
  </si>
  <si>
    <t>Kiểm tra lại tìm kiếm</t>
  </si>
  <si>
    <t>Kiểm tra lại quản lý hồ sơ cá nhân</t>
  </si>
  <si>
    <t>Kiểm tra lại tương tác bài viết</t>
  </si>
  <si>
    <t>Release Sprint 2</t>
  </si>
  <si>
    <t>Sprint 2 review meeting</t>
  </si>
  <si>
    <t>Sprint 2 retrospective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</si>
</sst>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textRotation="90" wrapText="1"/>
    </xf>
    <xf numFmtId="164" fontId="2" fillId="0" borderId="1" xfId="0" applyNumberFormat="1" applyFont="1" applyBorder="1" applyAlignment="1">
      <alignment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</a:t>
            </a:r>
            <a:r>
              <a:rPr lang="vi-VN" baseline="0"/>
              <a:t>2</a:t>
            </a:r>
            <a:endParaRPr lang="en-US"/>
          </a:p>
        </c:rich>
      </c:tx>
      <c:layout>
        <c:manualLayout>
          <c:xMode val="edge"/>
          <c:yMode val="edge"/>
          <c:x val="0.39526552577256102"/>
          <c:y val="6.3785045555503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760454542804898E-2"/>
          <c:y val="0.17532596137391818"/>
          <c:w val="0.90241229534075196"/>
          <c:h val="0.62580119660003186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[1]Sprint2!$I$15:$AA$15</c:f>
              <c:numCache>
                <c:formatCode>dd/mm</c:formatCode>
                <c:ptCount val="19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  <c:pt idx="16">
                  <c:v>46136</c:v>
                </c:pt>
                <c:pt idx="17">
                  <c:v>46137</c:v>
                </c:pt>
                <c:pt idx="18">
                  <c:v>46138</c:v>
                </c:pt>
              </c:numCache>
            </c:numRef>
          </c:cat>
          <c:val>
            <c:numRef>
              <c:f>[1]Sprint2!$I$99:$AA$99</c:f>
              <c:numCache>
                <c:formatCode>General</c:formatCode>
                <c:ptCount val="19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132</c:v>
                </c:pt>
                <c:pt idx="7">
                  <c:v>118</c:v>
                </c:pt>
                <c:pt idx="8">
                  <c:v>110</c:v>
                </c:pt>
                <c:pt idx="9">
                  <c:v>104</c:v>
                </c:pt>
                <c:pt idx="10">
                  <c:v>92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1-44C0-8CB3-63CD47317FEB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[1]Sprint2!$I$15:$AA$15</c:f>
              <c:numCache>
                <c:formatCode>dd/mm</c:formatCode>
                <c:ptCount val="19"/>
                <c:pt idx="0">
                  <c:v>46120</c:v>
                </c:pt>
                <c:pt idx="1">
                  <c:v>46121</c:v>
                </c:pt>
                <c:pt idx="2">
                  <c:v>46122</c:v>
                </c:pt>
                <c:pt idx="3">
                  <c:v>46123</c:v>
                </c:pt>
                <c:pt idx="4">
                  <c:v>46124</c:v>
                </c:pt>
                <c:pt idx="5">
                  <c:v>46125</c:v>
                </c:pt>
                <c:pt idx="6">
                  <c:v>46126</c:v>
                </c:pt>
                <c:pt idx="7">
                  <c:v>46127</c:v>
                </c:pt>
                <c:pt idx="8">
                  <c:v>46128</c:v>
                </c:pt>
                <c:pt idx="9">
                  <c:v>46129</c:v>
                </c:pt>
                <c:pt idx="10">
                  <c:v>46130</c:v>
                </c:pt>
                <c:pt idx="11">
                  <c:v>46131</c:v>
                </c:pt>
                <c:pt idx="12">
                  <c:v>46132</c:v>
                </c:pt>
                <c:pt idx="13">
                  <c:v>46133</c:v>
                </c:pt>
                <c:pt idx="14">
                  <c:v>46134</c:v>
                </c:pt>
                <c:pt idx="15">
                  <c:v>46135</c:v>
                </c:pt>
                <c:pt idx="16">
                  <c:v>46136</c:v>
                </c:pt>
                <c:pt idx="17">
                  <c:v>46137</c:v>
                </c:pt>
                <c:pt idx="18">
                  <c:v>46138</c:v>
                </c:pt>
              </c:numCache>
            </c:numRef>
          </c:cat>
          <c:val>
            <c:numRef>
              <c:f>[1]Sprint2!$I$100:$AA$100</c:f>
              <c:numCache>
                <c:formatCode>General</c:formatCode>
                <c:ptCount val="19"/>
                <c:pt idx="0">
                  <c:v>190</c:v>
                </c:pt>
                <c:pt idx="1">
                  <c:v>180</c:v>
                </c:pt>
                <c:pt idx="2">
                  <c:v>170</c:v>
                </c:pt>
                <c:pt idx="3">
                  <c:v>160</c:v>
                </c:pt>
                <c:pt idx="4">
                  <c:v>150</c:v>
                </c:pt>
                <c:pt idx="5">
                  <c:v>140</c:v>
                </c:pt>
                <c:pt idx="6">
                  <c:v>131</c:v>
                </c:pt>
                <c:pt idx="7">
                  <c:v>119</c:v>
                </c:pt>
                <c:pt idx="8">
                  <c:v>110</c:v>
                </c:pt>
                <c:pt idx="9">
                  <c:v>102</c:v>
                </c:pt>
                <c:pt idx="10">
                  <c:v>91</c:v>
                </c:pt>
                <c:pt idx="11">
                  <c:v>80</c:v>
                </c:pt>
                <c:pt idx="12">
                  <c:v>70</c:v>
                </c:pt>
                <c:pt idx="13">
                  <c:v>60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1-44C0-8CB3-63CD4731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dateAx>
        <c:axId val="1522247935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Offset val="100"/>
        <c:baseTimeUnit val="days"/>
      </c:date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1114778</xdr:colOff>
      <xdr:row>105</xdr:row>
      <xdr:rowOff>1</xdr:rowOff>
    </xdr:from>
    <xdr:to>
      <xdr:col>18</xdr:col>
      <xdr:colOff>292303</xdr:colOff>
      <xdr:row>129</xdr:row>
      <xdr:rowOff>96763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BA1B5-3C5F-4176-956B-DB9A2DE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LTN_Nhom46_K28\SCI_SE_10.ProjectSprintBack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rint1"/>
      <sheetName val="Sprint2"/>
      <sheetName val="Sprint3"/>
      <sheetName val="Total"/>
    </sheetNames>
    <sheetDataSet>
      <sheetData sheetId="0"/>
      <sheetData sheetId="1">
        <row r="15">
          <cell r="I15">
            <v>46120</v>
          </cell>
          <cell r="J15">
            <v>46121</v>
          </cell>
          <cell r="K15">
            <v>46122</v>
          </cell>
          <cell r="L15">
            <v>46123</v>
          </cell>
          <cell r="M15">
            <v>46124</v>
          </cell>
          <cell r="N15">
            <v>46125</v>
          </cell>
          <cell r="O15">
            <v>46126</v>
          </cell>
          <cell r="P15">
            <v>46127</v>
          </cell>
          <cell r="Q15">
            <v>46128</v>
          </cell>
          <cell r="R15">
            <v>46129</v>
          </cell>
          <cell r="S15">
            <v>46130</v>
          </cell>
          <cell r="T15">
            <v>46131</v>
          </cell>
          <cell r="U15">
            <v>46132</v>
          </cell>
          <cell r="V15">
            <v>46133</v>
          </cell>
          <cell r="W15">
            <v>46134</v>
          </cell>
          <cell r="X15">
            <v>46135</v>
          </cell>
          <cell r="Y15">
            <v>46136</v>
          </cell>
          <cell r="Z15">
            <v>46137</v>
          </cell>
          <cell r="AA15">
            <v>46138</v>
          </cell>
        </row>
        <row r="99">
          <cell r="I99">
            <v>190</v>
          </cell>
          <cell r="J99">
            <v>180</v>
          </cell>
          <cell r="K99">
            <v>170</v>
          </cell>
          <cell r="L99">
            <v>160</v>
          </cell>
          <cell r="M99">
            <v>150</v>
          </cell>
          <cell r="N99">
            <v>140</v>
          </cell>
          <cell r="O99">
            <v>132</v>
          </cell>
          <cell r="P99">
            <v>118</v>
          </cell>
          <cell r="Q99">
            <v>110</v>
          </cell>
          <cell r="R99">
            <v>104</v>
          </cell>
          <cell r="S99">
            <v>92</v>
          </cell>
          <cell r="T99">
            <v>80</v>
          </cell>
          <cell r="U99">
            <v>70</v>
          </cell>
          <cell r="V99">
            <v>60</v>
          </cell>
          <cell r="W99">
            <v>50</v>
          </cell>
          <cell r="X99">
            <v>40</v>
          </cell>
          <cell r="Y99">
            <v>30</v>
          </cell>
          <cell r="Z99">
            <v>20</v>
          </cell>
          <cell r="AA99">
            <v>0</v>
          </cell>
        </row>
        <row r="100">
          <cell r="I100">
            <v>190</v>
          </cell>
          <cell r="J100">
            <v>180</v>
          </cell>
          <cell r="K100">
            <v>170</v>
          </cell>
          <cell r="L100">
            <v>160</v>
          </cell>
          <cell r="M100">
            <v>150</v>
          </cell>
          <cell r="N100">
            <v>140</v>
          </cell>
          <cell r="O100">
            <v>131</v>
          </cell>
          <cell r="P100">
            <v>119</v>
          </cell>
          <cell r="Q100">
            <v>110</v>
          </cell>
          <cell r="R100">
            <v>102</v>
          </cell>
          <cell r="S100">
            <v>91</v>
          </cell>
          <cell r="T100">
            <v>80</v>
          </cell>
          <cell r="U100">
            <v>70</v>
          </cell>
          <cell r="V100">
            <v>60</v>
          </cell>
          <cell r="W100">
            <v>50</v>
          </cell>
          <cell r="X100">
            <v>40</v>
          </cell>
          <cell r="Y100">
            <v>30</v>
          </cell>
          <cell r="Z100">
            <v>20</v>
          </cell>
          <cell r="AA100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FBD3-D0C5-45F5-9E10-8CB3C145B54E}">
  <dimension ref="A1:AB132"/>
  <sheetViews>
    <sheetView tabSelected="1" topLeftCell="A13" zoomScale="61" workbookViewId="0">
      <selection activeCell="V125" sqref="V125"/>
    </sheetView>
  </sheetViews>
  <sheetFormatPr defaultRowHeight="14.4" x14ac:dyDescent="0.3"/>
  <cols>
    <col min="2" max="2" width="13.33203125" customWidth="1"/>
    <col min="3" max="3" width="29" customWidth="1"/>
    <col min="4" max="4" width="31.6640625" customWidth="1"/>
  </cols>
  <sheetData>
    <row r="1" spans="1:28" ht="16.8" x14ac:dyDescent="0.3">
      <c r="A1" s="1" t="s">
        <v>0</v>
      </c>
      <c r="B1" s="1"/>
      <c r="C1" s="2" t="s">
        <v>1</v>
      </c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6.8" x14ac:dyDescent="0.3">
      <c r="A2" s="1" t="s">
        <v>2</v>
      </c>
      <c r="B2" s="1"/>
      <c r="C2" s="2" t="s">
        <v>3</v>
      </c>
      <c r="D2" s="3"/>
      <c r="E2" s="3"/>
      <c r="F2" s="3"/>
      <c r="G2" s="4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6.8" x14ac:dyDescent="0.3">
      <c r="A3" s="1" t="s">
        <v>4</v>
      </c>
      <c r="B3" s="1"/>
      <c r="C3" s="7">
        <v>46120</v>
      </c>
      <c r="D3" s="8"/>
      <c r="E3" s="8"/>
      <c r="F3" s="8"/>
      <c r="G3" s="9"/>
      <c r="H3" s="5"/>
      <c r="I3" s="6"/>
      <c r="J3" s="10"/>
      <c r="K3" s="11" t="s">
        <v>5</v>
      </c>
      <c r="L3" s="11"/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6.8" x14ac:dyDescent="0.3">
      <c r="A4" s="1" t="s">
        <v>6</v>
      </c>
      <c r="B4" s="1"/>
      <c r="C4" s="7">
        <v>46138</v>
      </c>
      <c r="D4" s="8"/>
      <c r="E4" s="8"/>
      <c r="F4" s="8"/>
      <c r="G4" s="9"/>
      <c r="H4" s="6"/>
      <c r="I4" s="6"/>
      <c r="J4" s="12"/>
      <c r="K4" s="11" t="s">
        <v>7</v>
      </c>
      <c r="L4" s="11"/>
      <c r="M4" s="1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6.8" x14ac:dyDescent="0.3">
      <c r="A5" s="6"/>
      <c r="B5" s="6"/>
      <c r="C5" s="6"/>
      <c r="D5" s="6"/>
      <c r="E5" s="6"/>
      <c r="F5" s="6"/>
      <c r="G5" s="6"/>
      <c r="H5" s="6"/>
      <c r="I5" s="6"/>
      <c r="J5" s="13"/>
      <c r="K5" s="11" t="s">
        <v>8</v>
      </c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6.8" x14ac:dyDescent="0.3">
      <c r="A6" s="6"/>
      <c r="B6" s="14" t="s">
        <v>9</v>
      </c>
      <c r="C6" s="14"/>
      <c r="D6" s="14"/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5"/>
      <c r="Q6" s="5"/>
      <c r="R6" s="5"/>
      <c r="S6" s="5"/>
      <c r="T6" s="5"/>
      <c r="U6" s="5"/>
      <c r="V6" s="6"/>
      <c r="W6" s="6"/>
      <c r="X6" s="6"/>
      <c r="Y6" s="6"/>
      <c r="Z6" s="6"/>
      <c r="AA6" s="6"/>
      <c r="AB6" s="6"/>
    </row>
    <row r="7" spans="1:28" ht="16.8" x14ac:dyDescent="0.3">
      <c r="A7" s="6"/>
      <c r="B7" s="15" t="s">
        <v>10</v>
      </c>
      <c r="C7" s="15" t="s">
        <v>11</v>
      </c>
      <c r="D7" s="15" t="s">
        <v>12</v>
      </c>
      <c r="E7" s="15" t="s">
        <v>13</v>
      </c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5"/>
      <c r="U7" s="5"/>
      <c r="V7" s="6"/>
      <c r="W7" s="6"/>
      <c r="X7" s="6"/>
      <c r="Y7" s="6"/>
      <c r="Z7" s="6"/>
      <c r="AA7" s="6"/>
      <c r="AB7" s="6"/>
    </row>
    <row r="8" spans="1:28" ht="16.8" x14ac:dyDescent="0.3">
      <c r="A8" s="6"/>
      <c r="B8" s="16">
        <v>1</v>
      </c>
      <c r="C8" s="17" t="s">
        <v>14</v>
      </c>
      <c r="D8" s="16">
        <f ca="1">SUMIF(E15:F104,"Cường",G15:G104)+SUMIF(E15:F104,"Vy, Thi, Cường",G15:G104)/3+SUMIF(E15:F104,"All team",G15:G104)/5</f>
        <v>39.799999999999997</v>
      </c>
      <c r="E8" s="16">
        <f ca="1">SUMIF(E15:F104,"Cường",H15:H104)+SUMIF(E15:F104,"Vy, Thi, Cường",H15:H104)/3+SUMIF(E15:F104,"All team",H15:H104)/5+SUMIF(E15:F104,"Cường, Ly",H15:H104)/2</f>
        <v>40</v>
      </c>
      <c r="F8" s="6"/>
      <c r="G8" s="6"/>
      <c r="H8" s="6"/>
      <c r="I8" s="6"/>
      <c r="J8" s="6"/>
      <c r="K8" s="6"/>
      <c r="L8" s="6"/>
      <c r="M8" s="6"/>
      <c r="N8" s="6"/>
      <c r="O8" s="6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</row>
    <row r="9" spans="1:28" ht="16.8" x14ac:dyDescent="0.3">
      <c r="A9" s="6"/>
      <c r="B9" s="16">
        <v>2</v>
      </c>
      <c r="C9" s="17" t="s">
        <v>15</v>
      </c>
      <c r="D9" s="16">
        <f ca="1">SUMIF(E15:F104,"Ly",G15:G104)+SUMIF(E15:F104,"Yên, Ly",G15:G104)/2+SUMIF(E15:F104,"All team",G15:G104)/5</f>
        <v>41.8</v>
      </c>
      <c r="E9" s="16">
        <f ca="1">SUMIF(E15:F104,"Ly",H15:H104)+SUMIF(E15:F104,"Yên, Ly",H15:H104)/2+SUMIF(E15:F104,"All team",H15:H104)/5+SUMIF(E15:F104,"Cường, Ly",H15:H104)/2</f>
        <v>40</v>
      </c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</row>
    <row r="10" spans="1:28" ht="16.8" x14ac:dyDescent="0.3">
      <c r="A10" s="6"/>
      <c r="B10" s="16">
        <v>3</v>
      </c>
      <c r="C10" s="17" t="s">
        <v>16</v>
      </c>
      <c r="D10" s="16">
        <f ca="1">SUMIF(E15:F104,"Thi",G15:G104)+SUMIF(E15:F104,"Vy, Thi, Cường",G15:G104)/3+SUMIF(E15:F104,"All team",G15:G104)/5</f>
        <v>39.799999999999997</v>
      </c>
      <c r="E10" s="16">
        <f ca="1">SUMIF(E15:F104,"Thi",H15:H104)+SUMIF(E15:F104,"Vy, Thi, Cường",H15:H104)/3+SUMIF(E15:F104,"All team",H15:H104)/5</f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5"/>
      <c r="T10" s="5"/>
      <c r="U10" s="5"/>
      <c r="V10" s="6"/>
      <c r="W10" s="6"/>
      <c r="X10" s="6"/>
      <c r="Y10" s="6"/>
      <c r="Z10" s="6"/>
      <c r="AA10" s="6"/>
      <c r="AB10" s="6"/>
    </row>
    <row r="11" spans="1:28" ht="16.8" x14ac:dyDescent="0.3">
      <c r="A11" s="6"/>
      <c r="B11" s="16">
        <v>4</v>
      </c>
      <c r="C11" s="17" t="s">
        <v>17</v>
      </c>
      <c r="D11" s="16">
        <f ca="1">SUMIF(E15:F104,"Vy",G15:G104)+SUMIF(E15:F104,"Vy, Thi, Cường",G15:G104)/3+SUMIF(E15:F104,"All team",G15:G104)/5</f>
        <v>41.8</v>
      </c>
      <c r="E11" s="16">
        <f ca="1">SUMIF(E15:F104,"Vy",H15:H104)+SUMIF(E15:F104,"Vy, Thi, Cường",H15:H104)/3+SUMIF(E15:F104,"All team",H15:H104)/5</f>
        <v>40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6.8" x14ac:dyDescent="0.3">
      <c r="A12" s="6"/>
      <c r="B12" s="16">
        <v>5</v>
      </c>
      <c r="C12" s="17" t="s">
        <v>18</v>
      </c>
      <c r="D12" s="16">
        <f ca="1">SUMIF(E15:F104,"Yên",G15:G104)+SUMIF(E15:F104,"Yên, Ly",G15:G104)/2+SUMIF(E15:F104,"All team",G15:G104)/5</f>
        <v>39.799999999999997</v>
      </c>
      <c r="E12" s="16">
        <f ca="1">SUMIF(E15:F104,"Yên",H15:H104)+SUMIF(E15:F104,"Yên, Ly",H15:H104)/2+SUMIF(E15:F104,"All team",H15:H104)/5</f>
        <v>40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6.8" x14ac:dyDescent="0.3">
      <c r="A13" s="6"/>
      <c r="B13" s="14" t="s">
        <v>19</v>
      </c>
      <c r="C13" s="14"/>
      <c r="D13" s="18">
        <f ca="1">SUM(D8:D12)</f>
        <v>203</v>
      </c>
      <c r="E13" s="18">
        <f ca="1">SUM(E8:E12)</f>
        <v>200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6.8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5"/>
      <c r="AB14" s="5"/>
    </row>
    <row r="15" spans="1:28" ht="50.4" customHeight="1" x14ac:dyDescent="0.3">
      <c r="A15" s="19" t="s">
        <v>20</v>
      </c>
      <c r="B15" s="19" t="s">
        <v>21</v>
      </c>
      <c r="C15" s="14" t="s">
        <v>22</v>
      </c>
      <c r="D15" s="14"/>
      <c r="E15" s="20" t="s">
        <v>23</v>
      </c>
      <c r="F15" s="20"/>
      <c r="G15" s="21" t="s">
        <v>12</v>
      </c>
      <c r="H15" s="21" t="s">
        <v>13</v>
      </c>
      <c r="I15" s="22">
        <v>46120</v>
      </c>
      <c r="J15" s="22">
        <v>46121</v>
      </c>
      <c r="K15" s="22">
        <v>46122</v>
      </c>
      <c r="L15" s="22">
        <v>46123</v>
      </c>
      <c r="M15" s="22">
        <v>46124</v>
      </c>
      <c r="N15" s="22">
        <v>46125</v>
      </c>
      <c r="O15" s="22">
        <v>46126</v>
      </c>
      <c r="P15" s="22">
        <v>46127</v>
      </c>
      <c r="Q15" s="22">
        <v>46128</v>
      </c>
      <c r="R15" s="22">
        <v>46129</v>
      </c>
      <c r="S15" s="22">
        <v>46130</v>
      </c>
      <c r="T15" s="22">
        <v>46131</v>
      </c>
      <c r="U15" s="22">
        <v>46132</v>
      </c>
      <c r="V15" s="22">
        <v>46133</v>
      </c>
      <c r="W15" s="22">
        <v>46134</v>
      </c>
      <c r="X15" s="22">
        <v>46135</v>
      </c>
      <c r="Y15" s="22">
        <v>46136</v>
      </c>
      <c r="Z15" s="22">
        <v>46137</v>
      </c>
      <c r="AA15" s="22">
        <v>46138</v>
      </c>
      <c r="AB15" s="6"/>
    </row>
    <row r="16" spans="1:28" ht="16.8" x14ac:dyDescent="0.3">
      <c r="A16" s="23" t="s">
        <v>3</v>
      </c>
      <c r="B16" s="24" t="s">
        <v>24</v>
      </c>
      <c r="C16" s="24"/>
      <c r="D16" s="24"/>
      <c r="E16" s="25" t="s">
        <v>25</v>
      </c>
      <c r="F16" s="25"/>
      <c r="G16" s="26">
        <f>H16+I16</f>
        <v>10</v>
      </c>
      <c r="H16" s="26">
        <v>10</v>
      </c>
      <c r="I16" s="10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6"/>
    </row>
    <row r="17" spans="1:28" ht="16.8" x14ac:dyDescent="0.3">
      <c r="A17" s="23"/>
      <c r="B17" s="24" t="s">
        <v>26</v>
      </c>
      <c r="C17" s="24"/>
      <c r="D17" s="24"/>
      <c r="E17" s="25" t="s">
        <v>27</v>
      </c>
      <c r="F17" s="25"/>
      <c r="G17" s="26">
        <f>H17+J17</f>
        <v>4</v>
      </c>
      <c r="H17" s="26">
        <v>4</v>
      </c>
      <c r="I17" s="17">
        <v>4</v>
      </c>
      <c r="J17" s="10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6"/>
    </row>
    <row r="18" spans="1:28" ht="16.8" x14ac:dyDescent="0.3">
      <c r="A18" s="23"/>
      <c r="B18" s="24" t="s">
        <v>28</v>
      </c>
      <c r="C18" s="24"/>
      <c r="D18" s="24"/>
      <c r="E18" s="25" t="s">
        <v>29</v>
      </c>
      <c r="F18" s="25"/>
      <c r="G18" s="26">
        <f>H18+J18</f>
        <v>6</v>
      </c>
      <c r="H18" s="26">
        <v>6</v>
      </c>
      <c r="I18" s="17">
        <v>6</v>
      </c>
      <c r="J18" s="10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6"/>
    </row>
    <row r="19" spans="1:28" ht="16.8" x14ac:dyDescent="0.3">
      <c r="A19" s="23"/>
      <c r="B19" s="23" t="s">
        <v>30</v>
      </c>
      <c r="C19" s="27" t="s">
        <v>31</v>
      </c>
      <c r="D19" s="28"/>
      <c r="E19" s="29" t="s">
        <v>32</v>
      </c>
      <c r="F19" s="30"/>
      <c r="G19" s="26">
        <f>H19+K19</f>
        <v>2</v>
      </c>
      <c r="H19" s="26">
        <v>2</v>
      </c>
      <c r="I19" s="17">
        <v>2</v>
      </c>
      <c r="J19" s="17">
        <v>2</v>
      </c>
      <c r="K19" s="10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6"/>
    </row>
    <row r="20" spans="1:28" ht="16.8" x14ac:dyDescent="0.3">
      <c r="A20" s="23"/>
      <c r="B20" s="23"/>
      <c r="C20" s="31" t="s">
        <v>33</v>
      </c>
      <c r="D20" s="31"/>
      <c r="E20" s="25" t="s">
        <v>34</v>
      </c>
      <c r="F20" s="25"/>
      <c r="G20" s="26">
        <f t="shared" ref="G20:G23" si="0">H20+K20</f>
        <v>2</v>
      </c>
      <c r="H20" s="26">
        <v>2</v>
      </c>
      <c r="I20" s="17">
        <v>2</v>
      </c>
      <c r="J20" s="17">
        <v>2</v>
      </c>
      <c r="K20" s="10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6"/>
    </row>
    <row r="21" spans="1:28" ht="16.8" x14ac:dyDescent="0.3">
      <c r="A21" s="23"/>
      <c r="B21" s="23"/>
      <c r="C21" s="31" t="s">
        <v>35</v>
      </c>
      <c r="D21" s="31"/>
      <c r="E21" s="25" t="s">
        <v>36</v>
      </c>
      <c r="F21" s="25"/>
      <c r="G21" s="26">
        <f t="shared" si="0"/>
        <v>2</v>
      </c>
      <c r="H21" s="26">
        <v>2</v>
      </c>
      <c r="I21" s="17">
        <v>2</v>
      </c>
      <c r="J21" s="17">
        <v>2</v>
      </c>
      <c r="K21" s="10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6"/>
    </row>
    <row r="22" spans="1:28" ht="16.8" x14ac:dyDescent="0.3">
      <c r="A22" s="23"/>
      <c r="B22" s="23"/>
      <c r="C22" s="27" t="s">
        <v>37</v>
      </c>
      <c r="D22" s="28"/>
      <c r="E22" s="29" t="s">
        <v>38</v>
      </c>
      <c r="F22" s="30"/>
      <c r="G22" s="26">
        <f t="shared" si="0"/>
        <v>2</v>
      </c>
      <c r="H22" s="26">
        <v>2</v>
      </c>
      <c r="I22" s="17">
        <v>2</v>
      </c>
      <c r="J22" s="17">
        <v>2</v>
      </c>
      <c r="K22" s="10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6"/>
    </row>
    <row r="23" spans="1:28" ht="16.8" x14ac:dyDescent="0.3">
      <c r="A23" s="23"/>
      <c r="B23" s="23"/>
      <c r="C23" s="27" t="s">
        <v>39</v>
      </c>
      <c r="D23" s="28"/>
      <c r="E23" s="29" t="s">
        <v>40</v>
      </c>
      <c r="F23" s="30"/>
      <c r="G23" s="26">
        <f t="shared" si="0"/>
        <v>2</v>
      </c>
      <c r="H23" s="26">
        <v>2</v>
      </c>
      <c r="I23" s="17">
        <v>2</v>
      </c>
      <c r="J23" s="17">
        <v>2</v>
      </c>
      <c r="K23" s="10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6"/>
    </row>
    <row r="24" spans="1:28" ht="16.8" x14ac:dyDescent="0.3">
      <c r="A24" s="23"/>
      <c r="B24" s="23"/>
      <c r="C24" s="27" t="s">
        <v>41</v>
      </c>
      <c r="D24" s="28"/>
      <c r="E24" s="29" t="s">
        <v>32</v>
      </c>
      <c r="F24" s="30"/>
      <c r="G24" s="26">
        <f>H24+L24</f>
        <v>2</v>
      </c>
      <c r="H24" s="26">
        <v>2</v>
      </c>
      <c r="I24" s="17">
        <v>2</v>
      </c>
      <c r="J24" s="17">
        <v>2</v>
      </c>
      <c r="K24" s="17">
        <v>2</v>
      </c>
      <c r="L24" s="10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6"/>
    </row>
    <row r="25" spans="1:28" ht="16.8" x14ac:dyDescent="0.3">
      <c r="A25" s="23"/>
      <c r="B25" s="23"/>
      <c r="C25" s="32" t="s">
        <v>42</v>
      </c>
      <c r="D25" s="32"/>
      <c r="E25" s="25" t="s">
        <v>34</v>
      </c>
      <c r="F25" s="25"/>
      <c r="G25" s="26">
        <f t="shared" ref="G25:G28" si="1">H25+L25</f>
        <v>2</v>
      </c>
      <c r="H25" s="26">
        <v>2</v>
      </c>
      <c r="I25" s="17">
        <v>2</v>
      </c>
      <c r="J25" s="17">
        <v>2</v>
      </c>
      <c r="K25" s="17">
        <v>2</v>
      </c>
      <c r="L25" s="10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6"/>
    </row>
    <row r="26" spans="1:28" ht="16.8" x14ac:dyDescent="0.3">
      <c r="A26" s="23"/>
      <c r="B26" s="23"/>
      <c r="C26" s="33" t="s">
        <v>43</v>
      </c>
      <c r="D26" s="33"/>
      <c r="E26" s="25" t="s">
        <v>36</v>
      </c>
      <c r="F26" s="25"/>
      <c r="G26" s="26">
        <f t="shared" si="1"/>
        <v>2</v>
      </c>
      <c r="H26" s="26">
        <v>2</v>
      </c>
      <c r="I26" s="17">
        <v>2</v>
      </c>
      <c r="J26" s="17">
        <v>2</v>
      </c>
      <c r="K26" s="17">
        <v>2</v>
      </c>
      <c r="L26" s="10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6"/>
    </row>
    <row r="27" spans="1:28" ht="16.8" x14ac:dyDescent="0.3">
      <c r="A27" s="23"/>
      <c r="B27" s="34"/>
      <c r="C27" s="27" t="s">
        <v>44</v>
      </c>
      <c r="D27" s="28"/>
      <c r="E27" s="29" t="s">
        <v>38</v>
      </c>
      <c r="F27" s="30"/>
      <c r="G27" s="26">
        <f t="shared" si="1"/>
        <v>2</v>
      </c>
      <c r="H27" s="26">
        <v>2</v>
      </c>
      <c r="I27" s="17">
        <v>2</v>
      </c>
      <c r="J27" s="17">
        <v>2</v>
      </c>
      <c r="K27" s="17">
        <v>2</v>
      </c>
      <c r="L27" s="10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6"/>
    </row>
    <row r="28" spans="1:28" ht="16.8" x14ac:dyDescent="0.3">
      <c r="A28" s="23"/>
      <c r="B28" s="23"/>
      <c r="C28" s="32" t="s">
        <v>45</v>
      </c>
      <c r="D28" s="32"/>
      <c r="E28" s="29" t="s">
        <v>40</v>
      </c>
      <c r="F28" s="30"/>
      <c r="G28" s="26">
        <f t="shared" si="1"/>
        <v>2</v>
      </c>
      <c r="H28" s="26">
        <v>2</v>
      </c>
      <c r="I28" s="17">
        <v>2</v>
      </c>
      <c r="J28" s="17">
        <v>2</v>
      </c>
      <c r="K28" s="17">
        <v>2</v>
      </c>
      <c r="L28" s="10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6"/>
    </row>
    <row r="29" spans="1:28" ht="16.8" x14ac:dyDescent="0.3">
      <c r="A29" s="23"/>
      <c r="B29" s="23"/>
      <c r="C29" s="31" t="s">
        <v>46</v>
      </c>
      <c r="D29" s="31"/>
      <c r="E29" s="25" t="s">
        <v>25</v>
      </c>
      <c r="F29" s="25"/>
      <c r="G29" s="26">
        <f>H29+M29</f>
        <v>10</v>
      </c>
      <c r="H29" s="26">
        <v>10</v>
      </c>
      <c r="I29" s="17">
        <v>10</v>
      </c>
      <c r="J29" s="17">
        <v>10</v>
      </c>
      <c r="K29" s="17">
        <v>10</v>
      </c>
      <c r="L29" s="17">
        <v>10</v>
      </c>
      <c r="M29" s="10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6"/>
    </row>
    <row r="30" spans="1:28" ht="16.8" x14ac:dyDescent="0.3">
      <c r="A30" s="23"/>
      <c r="B30" s="35" t="s">
        <v>47</v>
      </c>
      <c r="C30" s="31" t="s">
        <v>48</v>
      </c>
      <c r="D30" s="31"/>
      <c r="E30" s="30" t="s">
        <v>34</v>
      </c>
      <c r="F30" s="25"/>
      <c r="G30" s="26">
        <f>H30+N30</f>
        <v>2</v>
      </c>
      <c r="H30" s="26">
        <v>2</v>
      </c>
      <c r="I30" s="17">
        <v>2</v>
      </c>
      <c r="J30" s="17">
        <v>2</v>
      </c>
      <c r="K30" s="17">
        <v>2</v>
      </c>
      <c r="L30" s="17">
        <v>2</v>
      </c>
      <c r="M30" s="17">
        <v>2</v>
      </c>
      <c r="N30" s="10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6"/>
    </row>
    <row r="31" spans="1:28" ht="16.8" x14ac:dyDescent="0.3">
      <c r="A31" s="23"/>
      <c r="B31" s="36"/>
      <c r="C31" s="31" t="s">
        <v>49</v>
      </c>
      <c r="D31" s="31"/>
      <c r="E31" s="29" t="s">
        <v>36</v>
      </c>
      <c r="F31" s="30"/>
      <c r="G31" s="26">
        <f t="shared" ref="G31:G33" si="2">H31+N31</f>
        <v>2</v>
      </c>
      <c r="H31" s="26">
        <v>2</v>
      </c>
      <c r="I31" s="17">
        <v>2</v>
      </c>
      <c r="J31" s="17">
        <v>2</v>
      </c>
      <c r="K31" s="17">
        <v>2</v>
      </c>
      <c r="L31" s="17">
        <v>2</v>
      </c>
      <c r="M31" s="17">
        <v>2</v>
      </c>
      <c r="N31" s="10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6"/>
    </row>
    <row r="32" spans="1:28" ht="16.8" x14ac:dyDescent="0.3">
      <c r="A32" s="23"/>
      <c r="B32" s="36"/>
      <c r="C32" s="31" t="s">
        <v>50</v>
      </c>
      <c r="D32" s="31"/>
      <c r="E32" s="29" t="s">
        <v>38</v>
      </c>
      <c r="F32" s="30"/>
      <c r="G32" s="26">
        <f t="shared" si="2"/>
        <v>2</v>
      </c>
      <c r="H32" s="26">
        <v>2</v>
      </c>
      <c r="I32" s="17">
        <v>2</v>
      </c>
      <c r="J32" s="17">
        <v>2</v>
      </c>
      <c r="K32" s="17">
        <v>2</v>
      </c>
      <c r="L32" s="17">
        <v>2</v>
      </c>
      <c r="M32" s="17">
        <v>2</v>
      </c>
      <c r="N32" s="10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6"/>
    </row>
    <row r="33" spans="1:28" ht="16.8" x14ac:dyDescent="0.3">
      <c r="A33" s="23"/>
      <c r="B33" s="36"/>
      <c r="C33" s="31" t="s">
        <v>51</v>
      </c>
      <c r="D33" s="31"/>
      <c r="E33" s="29" t="s">
        <v>40</v>
      </c>
      <c r="F33" s="30"/>
      <c r="G33" s="26">
        <f t="shared" si="2"/>
        <v>2</v>
      </c>
      <c r="H33" s="26">
        <v>2</v>
      </c>
      <c r="I33" s="17">
        <v>2</v>
      </c>
      <c r="J33" s="17">
        <v>2</v>
      </c>
      <c r="K33" s="17">
        <v>2</v>
      </c>
      <c r="L33" s="17">
        <v>2</v>
      </c>
      <c r="M33" s="17">
        <v>2</v>
      </c>
      <c r="N33" s="10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6"/>
    </row>
    <row r="34" spans="1:28" ht="16.8" x14ac:dyDescent="0.3">
      <c r="A34" s="23"/>
      <c r="B34" s="36"/>
      <c r="C34" s="2" t="s">
        <v>52</v>
      </c>
      <c r="D34" s="4"/>
      <c r="E34" s="30" t="s">
        <v>32</v>
      </c>
      <c r="F34" s="25"/>
      <c r="G34" s="26">
        <f>H34+N34</f>
        <v>2</v>
      </c>
      <c r="H34" s="26">
        <v>2</v>
      </c>
      <c r="I34" s="17">
        <v>2</v>
      </c>
      <c r="J34" s="17">
        <v>2</v>
      </c>
      <c r="K34" s="17">
        <v>2</v>
      </c>
      <c r="L34" s="17">
        <v>2</v>
      </c>
      <c r="M34" s="17">
        <v>2</v>
      </c>
      <c r="N34" s="10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6"/>
    </row>
    <row r="35" spans="1:28" ht="16.8" x14ac:dyDescent="0.3">
      <c r="A35" s="23"/>
      <c r="B35" s="36"/>
      <c r="C35" s="2" t="s">
        <v>53</v>
      </c>
      <c r="D35" s="4"/>
      <c r="E35" s="30" t="s">
        <v>34</v>
      </c>
      <c r="F35" s="25"/>
      <c r="G35" s="26">
        <f>H35+O36</f>
        <v>3</v>
      </c>
      <c r="H35" s="26">
        <v>2</v>
      </c>
      <c r="I35" s="17">
        <v>2</v>
      </c>
      <c r="J35" s="17">
        <v>2</v>
      </c>
      <c r="K35" s="17">
        <v>2</v>
      </c>
      <c r="L35" s="17">
        <v>2</v>
      </c>
      <c r="M35" s="17">
        <v>2</v>
      </c>
      <c r="N35" s="17">
        <v>2</v>
      </c>
      <c r="O35" s="10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6"/>
    </row>
    <row r="36" spans="1:28" ht="16.8" x14ac:dyDescent="0.3">
      <c r="A36" s="23"/>
      <c r="B36" s="36"/>
      <c r="C36" s="29"/>
      <c r="D36" s="30"/>
      <c r="E36" s="29"/>
      <c r="F36" s="30"/>
      <c r="G36" s="26"/>
      <c r="H36" s="26"/>
      <c r="I36" s="17"/>
      <c r="J36" s="17"/>
      <c r="K36" s="17"/>
      <c r="L36" s="17"/>
      <c r="M36" s="17"/>
      <c r="N36" s="17"/>
      <c r="O36" s="12">
        <v>1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6"/>
    </row>
    <row r="37" spans="1:28" ht="16.8" x14ac:dyDescent="0.3">
      <c r="A37" s="23"/>
      <c r="B37" s="36"/>
      <c r="C37" s="31" t="s">
        <v>54</v>
      </c>
      <c r="D37" s="31"/>
      <c r="E37" s="29" t="s">
        <v>36</v>
      </c>
      <c r="F37" s="30"/>
      <c r="G37" s="26">
        <f t="shared" ref="G37:G40" si="3">H37+O37</f>
        <v>2</v>
      </c>
      <c r="H37" s="26">
        <v>2</v>
      </c>
      <c r="I37" s="17">
        <v>2</v>
      </c>
      <c r="J37" s="17">
        <v>2</v>
      </c>
      <c r="K37" s="17">
        <v>2</v>
      </c>
      <c r="L37" s="17">
        <v>2</v>
      </c>
      <c r="M37" s="17">
        <v>2</v>
      </c>
      <c r="N37" s="17">
        <v>2</v>
      </c>
      <c r="O37" s="10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6"/>
    </row>
    <row r="38" spans="1:28" ht="16.8" x14ac:dyDescent="0.3">
      <c r="A38" s="23"/>
      <c r="B38" s="36"/>
      <c r="C38" s="31" t="s">
        <v>55</v>
      </c>
      <c r="D38" s="31"/>
      <c r="E38" s="29" t="s">
        <v>38</v>
      </c>
      <c r="F38" s="30"/>
      <c r="G38" s="26">
        <f t="shared" si="3"/>
        <v>2</v>
      </c>
      <c r="H38" s="26">
        <v>2</v>
      </c>
      <c r="I38" s="17">
        <v>2</v>
      </c>
      <c r="J38" s="17">
        <v>2</v>
      </c>
      <c r="K38" s="17">
        <v>2</v>
      </c>
      <c r="L38" s="17">
        <v>2</v>
      </c>
      <c r="M38" s="17">
        <v>2</v>
      </c>
      <c r="N38" s="17">
        <v>2</v>
      </c>
      <c r="O38" s="10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6"/>
    </row>
    <row r="39" spans="1:28" ht="16.8" x14ac:dyDescent="0.3">
      <c r="A39" s="23"/>
      <c r="B39" s="36"/>
      <c r="C39" s="31" t="s">
        <v>56</v>
      </c>
      <c r="D39" s="31"/>
      <c r="E39" s="29" t="s">
        <v>40</v>
      </c>
      <c r="F39" s="30"/>
      <c r="G39" s="26">
        <f t="shared" si="3"/>
        <v>2</v>
      </c>
      <c r="H39" s="26">
        <v>2</v>
      </c>
      <c r="I39" s="17">
        <v>2</v>
      </c>
      <c r="J39" s="17">
        <v>2</v>
      </c>
      <c r="K39" s="17">
        <v>2</v>
      </c>
      <c r="L39" s="17">
        <v>2</v>
      </c>
      <c r="M39" s="17">
        <v>2</v>
      </c>
      <c r="N39" s="17">
        <v>2</v>
      </c>
      <c r="O39" s="10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6"/>
    </row>
    <row r="40" spans="1:28" ht="16.8" x14ac:dyDescent="0.3">
      <c r="A40" s="23"/>
      <c r="B40" s="36"/>
      <c r="C40" s="31" t="s">
        <v>57</v>
      </c>
      <c r="D40" s="31"/>
      <c r="E40" s="30" t="s">
        <v>32</v>
      </c>
      <c r="F40" s="25"/>
      <c r="G40" s="26">
        <f t="shared" si="3"/>
        <v>2</v>
      </c>
      <c r="H40" s="26">
        <v>2</v>
      </c>
      <c r="I40" s="17">
        <v>2</v>
      </c>
      <c r="J40" s="17">
        <v>2</v>
      </c>
      <c r="K40" s="17">
        <v>2</v>
      </c>
      <c r="L40" s="17">
        <v>2</v>
      </c>
      <c r="M40" s="17">
        <v>2</v>
      </c>
      <c r="N40" s="17">
        <v>2</v>
      </c>
      <c r="O40" s="10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6"/>
    </row>
    <row r="41" spans="1:28" ht="16.8" x14ac:dyDescent="0.3">
      <c r="A41" s="23"/>
      <c r="B41" s="36"/>
      <c r="C41" s="31" t="s">
        <v>58</v>
      </c>
      <c r="D41" s="31"/>
      <c r="E41" s="30" t="s">
        <v>25</v>
      </c>
      <c r="F41" s="25"/>
      <c r="G41" s="26">
        <f>H41+P42</f>
        <v>9</v>
      </c>
      <c r="H41" s="26">
        <v>10</v>
      </c>
      <c r="I41" s="17">
        <v>10</v>
      </c>
      <c r="J41" s="17">
        <v>10</v>
      </c>
      <c r="K41" s="17">
        <v>10</v>
      </c>
      <c r="L41" s="17">
        <v>10</v>
      </c>
      <c r="M41" s="17">
        <v>10</v>
      </c>
      <c r="N41" s="17">
        <v>10</v>
      </c>
      <c r="O41" s="17">
        <v>10</v>
      </c>
      <c r="P41" s="10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6"/>
    </row>
    <row r="42" spans="1:28" ht="16.8" x14ac:dyDescent="0.3">
      <c r="A42" s="23"/>
      <c r="B42" s="37"/>
      <c r="C42" s="29"/>
      <c r="D42" s="30"/>
      <c r="E42" s="29"/>
      <c r="F42" s="30"/>
      <c r="G42" s="26"/>
      <c r="H42" s="26"/>
      <c r="I42" s="17"/>
      <c r="J42" s="17"/>
      <c r="K42" s="17"/>
      <c r="L42" s="17"/>
      <c r="M42" s="17"/>
      <c r="N42" s="17"/>
      <c r="O42" s="17"/>
      <c r="P42" s="13">
        <v>-1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6"/>
    </row>
    <row r="43" spans="1:28" ht="16.8" x14ac:dyDescent="0.3">
      <c r="A43" s="23"/>
      <c r="B43" s="35" t="s">
        <v>59</v>
      </c>
      <c r="C43" s="31" t="s">
        <v>60</v>
      </c>
      <c r="D43" s="31"/>
      <c r="E43" s="30" t="s">
        <v>38</v>
      </c>
      <c r="F43" s="25"/>
      <c r="G43" s="26">
        <f>H43+Q43</f>
        <v>2</v>
      </c>
      <c r="H43" s="26">
        <v>2</v>
      </c>
      <c r="I43" s="17">
        <v>2</v>
      </c>
      <c r="J43" s="17">
        <v>2</v>
      </c>
      <c r="K43" s="17">
        <v>2</v>
      </c>
      <c r="L43" s="17">
        <v>2</v>
      </c>
      <c r="M43" s="17">
        <v>2</v>
      </c>
      <c r="N43" s="17">
        <v>2</v>
      </c>
      <c r="O43" s="17">
        <v>2</v>
      </c>
      <c r="P43" s="17">
        <v>2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6"/>
    </row>
    <row r="44" spans="1:28" ht="16.8" x14ac:dyDescent="0.3">
      <c r="A44" s="23"/>
      <c r="B44" s="36"/>
      <c r="C44" s="31" t="s">
        <v>61</v>
      </c>
      <c r="D44" s="31"/>
      <c r="E44" s="29" t="s">
        <v>40</v>
      </c>
      <c r="F44" s="30"/>
      <c r="G44" s="26">
        <f t="shared" ref="G44:G47" si="4">H44+Q44</f>
        <v>2</v>
      </c>
      <c r="H44" s="26">
        <v>2</v>
      </c>
      <c r="I44" s="17">
        <v>2</v>
      </c>
      <c r="J44" s="17">
        <v>2</v>
      </c>
      <c r="K44" s="17">
        <v>2</v>
      </c>
      <c r="L44" s="17">
        <v>2</v>
      </c>
      <c r="M44" s="17">
        <v>2</v>
      </c>
      <c r="N44" s="17">
        <v>2</v>
      </c>
      <c r="O44" s="17">
        <v>2</v>
      </c>
      <c r="P44" s="17">
        <v>2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6"/>
    </row>
    <row r="45" spans="1:28" ht="16.8" x14ac:dyDescent="0.3">
      <c r="A45" s="23"/>
      <c r="B45" s="36"/>
      <c r="C45" s="31" t="s">
        <v>62</v>
      </c>
      <c r="D45" s="31"/>
      <c r="E45" s="29" t="s">
        <v>34</v>
      </c>
      <c r="F45" s="30"/>
      <c r="G45" s="26">
        <f t="shared" si="4"/>
        <v>2</v>
      </c>
      <c r="H45" s="26">
        <v>2</v>
      </c>
      <c r="I45" s="17">
        <v>2</v>
      </c>
      <c r="J45" s="17">
        <v>2</v>
      </c>
      <c r="K45" s="17">
        <v>2</v>
      </c>
      <c r="L45" s="17">
        <v>2</v>
      </c>
      <c r="M45" s="17">
        <v>2</v>
      </c>
      <c r="N45" s="17">
        <v>2</v>
      </c>
      <c r="O45" s="17">
        <v>2</v>
      </c>
      <c r="P45" s="17">
        <v>2</v>
      </c>
      <c r="Q45" s="10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6"/>
    </row>
    <row r="46" spans="1:28" ht="16.8" x14ac:dyDescent="0.3">
      <c r="A46" s="23"/>
      <c r="B46" s="36"/>
      <c r="C46" s="31" t="s">
        <v>63</v>
      </c>
      <c r="D46" s="31"/>
      <c r="E46" s="29" t="s">
        <v>36</v>
      </c>
      <c r="F46" s="30"/>
      <c r="G46" s="26">
        <f t="shared" si="4"/>
        <v>2</v>
      </c>
      <c r="H46" s="26">
        <v>2</v>
      </c>
      <c r="I46" s="17">
        <v>2</v>
      </c>
      <c r="J46" s="17">
        <v>2</v>
      </c>
      <c r="K46" s="17">
        <v>2</v>
      </c>
      <c r="L46" s="17">
        <v>2</v>
      </c>
      <c r="M46" s="17">
        <v>2</v>
      </c>
      <c r="N46" s="17">
        <v>2</v>
      </c>
      <c r="O46" s="17">
        <v>2</v>
      </c>
      <c r="P46" s="17">
        <v>2</v>
      </c>
      <c r="Q46" s="10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6"/>
    </row>
    <row r="47" spans="1:28" ht="16.8" x14ac:dyDescent="0.3">
      <c r="A47" s="23"/>
      <c r="B47" s="36"/>
      <c r="C47" s="31" t="s">
        <v>64</v>
      </c>
      <c r="D47" s="31"/>
      <c r="E47" s="30" t="s">
        <v>32</v>
      </c>
      <c r="F47" s="25"/>
      <c r="G47" s="26">
        <f t="shared" si="4"/>
        <v>2</v>
      </c>
      <c r="H47" s="26">
        <v>2</v>
      </c>
      <c r="I47" s="17">
        <v>2</v>
      </c>
      <c r="J47" s="17">
        <v>2</v>
      </c>
      <c r="K47" s="17">
        <v>2</v>
      </c>
      <c r="L47" s="17">
        <v>2</v>
      </c>
      <c r="M47" s="17">
        <v>2</v>
      </c>
      <c r="N47" s="17">
        <v>2</v>
      </c>
      <c r="O47" s="17">
        <v>2</v>
      </c>
      <c r="P47" s="17">
        <v>2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6"/>
    </row>
    <row r="48" spans="1:28" ht="16.8" x14ac:dyDescent="0.3">
      <c r="A48" s="23"/>
      <c r="B48" s="36"/>
      <c r="C48" s="31" t="s">
        <v>65</v>
      </c>
      <c r="D48" s="31"/>
      <c r="E48" s="29" t="s">
        <v>38</v>
      </c>
      <c r="F48" s="30"/>
      <c r="G48" s="26">
        <f>H48+R49</f>
        <v>4</v>
      </c>
      <c r="H48" s="26">
        <v>2</v>
      </c>
      <c r="I48" s="17">
        <v>2</v>
      </c>
      <c r="J48" s="17">
        <v>2</v>
      </c>
      <c r="K48" s="17">
        <v>2</v>
      </c>
      <c r="L48" s="17">
        <v>2</v>
      </c>
      <c r="M48" s="17">
        <v>2</v>
      </c>
      <c r="N48" s="17">
        <v>2</v>
      </c>
      <c r="O48" s="17">
        <v>2</v>
      </c>
      <c r="P48" s="17">
        <v>2</v>
      </c>
      <c r="Q48" s="17">
        <v>2</v>
      </c>
      <c r="R48" s="10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6"/>
    </row>
    <row r="49" spans="1:28" ht="16.8" x14ac:dyDescent="0.3">
      <c r="A49" s="23"/>
      <c r="B49" s="36"/>
      <c r="C49" s="29"/>
      <c r="D49" s="30"/>
      <c r="E49" s="29"/>
      <c r="F49" s="30"/>
      <c r="G49" s="26"/>
      <c r="H49" s="26"/>
      <c r="I49" s="17"/>
      <c r="J49" s="17"/>
      <c r="K49" s="17"/>
      <c r="L49" s="17"/>
      <c r="M49" s="17"/>
      <c r="N49" s="17"/>
      <c r="O49" s="17"/>
      <c r="P49" s="17"/>
      <c r="Q49" s="17"/>
      <c r="R49" s="12">
        <v>2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6"/>
    </row>
    <row r="50" spans="1:28" ht="16.8" x14ac:dyDescent="0.3">
      <c r="A50" s="23"/>
      <c r="B50" s="36"/>
      <c r="C50" s="31" t="s">
        <v>66</v>
      </c>
      <c r="D50" s="31"/>
      <c r="E50" s="29" t="s">
        <v>40</v>
      </c>
      <c r="F50" s="30"/>
      <c r="G50" s="26">
        <f>H50+R50</f>
        <v>2</v>
      </c>
      <c r="H50" s="26">
        <v>2</v>
      </c>
      <c r="I50" s="17">
        <v>2</v>
      </c>
      <c r="J50" s="17">
        <v>2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  <c r="P50" s="17">
        <v>2</v>
      </c>
      <c r="Q50" s="17">
        <v>2</v>
      </c>
      <c r="R50" s="10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6"/>
    </row>
    <row r="51" spans="1:28" ht="16.8" x14ac:dyDescent="0.3">
      <c r="A51" s="23"/>
      <c r="B51" s="36"/>
      <c r="C51" s="31" t="s">
        <v>67</v>
      </c>
      <c r="D51" s="31"/>
      <c r="E51" s="29" t="s">
        <v>34</v>
      </c>
      <c r="F51" s="30"/>
      <c r="G51" s="26">
        <f t="shared" ref="G51:G53" si="5">H51+R51</f>
        <v>2</v>
      </c>
      <c r="H51" s="26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0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6"/>
    </row>
    <row r="52" spans="1:28" ht="16.8" x14ac:dyDescent="0.3">
      <c r="A52" s="23"/>
      <c r="B52" s="36"/>
      <c r="C52" s="31" t="s">
        <v>68</v>
      </c>
      <c r="D52" s="31"/>
      <c r="E52" s="29" t="s">
        <v>36</v>
      </c>
      <c r="F52" s="30"/>
      <c r="G52" s="26">
        <f t="shared" si="5"/>
        <v>2</v>
      </c>
      <c r="H52" s="26">
        <v>2</v>
      </c>
      <c r="I52" s="17">
        <v>2</v>
      </c>
      <c r="J52" s="17">
        <v>2</v>
      </c>
      <c r="K52" s="17">
        <v>2</v>
      </c>
      <c r="L52" s="17">
        <v>2</v>
      </c>
      <c r="M52" s="17">
        <v>2</v>
      </c>
      <c r="N52" s="17">
        <v>2</v>
      </c>
      <c r="O52" s="17">
        <v>2</v>
      </c>
      <c r="P52" s="17">
        <v>2</v>
      </c>
      <c r="Q52" s="17">
        <v>2</v>
      </c>
      <c r="R52" s="10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6"/>
    </row>
    <row r="53" spans="1:28" ht="16.8" x14ac:dyDescent="0.3">
      <c r="A53" s="23"/>
      <c r="B53" s="36"/>
      <c r="C53" s="31" t="s">
        <v>69</v>
      </c>
      <c r="D53" s="31"/>
      <c r="E53" s="29" t="s">
        <v>32</v>
      </c>
      <c r="F53" s="30"/>
      <c r="G53" s="26">
        <f t="shared" si="5"/>
        <v>2</v>
      </c>
      <c r="H53" s="26">
        <v>2</v>
      </c>
      <c r="I53" s="17">
        <v>2</v>
      </c>
      <c r="J53" s="17">
        <v>2</v>
      </c>
      <c r="K53" s="17">
        <v>2</v>
      </c>
      <c r="L53" s="17">
        <v>2</v>
      </c>
      <c r="M53" s="17">
        <v>2</v>
      </c>
      <c r="N53" s="17">
        <v>2</v>
      </c>
      <c r="O53" s="17">
        <v>2</v>
      </c>
      <c r="P53" s="17">
        <v>2</v>
      </c>
      <c r="Q53" s="17">
        <v>2</v>
      </c>
      <c r="R53" s="10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6"/>
    </row>
    <row r="54" spans="1:28" ht="16.8" x14ac:dyDescent="0.3">
      <c r="A54" s="23"/>
      <c r="B54" s="36"/>
      <c r="C54" s="31" t="s">
        <v>70</v>
      </c>
      <c r="D54" s="31"/>
      <c r="E54" s="38" t="s">
        <v>38</v>
      </c>
      <c r="F54" s="30"/>
      <c r="G54" s="26">
        <f>H54+S54</f>
        <v>2</v>
      </c>
      <c r="H54" s="26">
        <v>2</v>
      </c>
      <c r="I54" s="17">
        <v>2</v>
      </c>
      <c r="J54" s="17">
        <v>2</v>
      </c>
      <c r="K54" s="17">
        <v>2</v>
      </c>
      <c r="L54" s="17">
        <v>2</v>
      </c>
      <c r="M54" s="17">
        <v>2</v>
      </c>
      <c r="N54" s="17">
        <v>2</v>
      </c>
      <c r="O54" s="17">
        <v>2</v>
      </c>
      <c r="P54" s="17">
        <v>2</v>
      </c>
      <c r="Q54" s="17">
        <v>2</v>
      </c>
      <c r="R54" s="17">
        <v>2</v>
      </c>
      <c r="S54" s="10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6"/>
    </row>
    <row r="55" spans="1:28" ht="16.8" x14ac:dyDescent="0.3">
      <c r="A55" s="23"/>
      <c r="B55" s="36"/>
      <c r="C55" s="31" t="s">
        <v>71</v>
      </c>
      <c r="D55" s="31"/>
      <c r="E55" s="25" t="s">
        <v>40</v>
      </c>
      <c r="F55" s="25"/>
      <c r="G55" s="26">
        <f t="shared" ref="G55:G57" si="6">H55+S55</f>
        <v>2</v>
      </c>
      <c r="H55" s="26">
        <v>2</v>
      </c>
      <c r="I55" s="17">
        <v>2</v>
      </c>
      <c r="J55" s="17">
        <v>2</v>
      </c>
      <c r="K55" s="17">
        <v>2</v>
      </c>
      <c r="L55" s="17">
        <v>2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17">
        <v>2</v>
      </c>
      <c r="S55" s="10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6"/>
    </row>
    <row r="56" spans="1:28" ht="16.8" x14ac:dyDescent="0.3">
      <c r="A56" s="23"/>
      <c r="B56" s="36"/>
      <c r="C56" s="31" t="s">
        <v>72</v>
      </c>
      <c r="D56" s="31"/>
      <c r="E56" s="29" t="s">
        <v>34</v>
      </c>
      <c r="F56" s="30"/>
      <c r="G56" s="26">
        <f t="shared" si="6"/>
        <v>2</v>
      </c>
      <c r="H56" s="26">
        <v>2</v>
      </c>
      <c r="I56" s="17">
        <v>2</v>
      </c>
      <c r="J56" s="17">
        <v>2</v>
      </c>
      <c r="K56" s="17">
        <v>2</v>
      </c>
      <c r="L56" s="17">
        <v>2</v>
      </c>
      <c r="M56" s="17">
        <v>2</v>
      </c>
      <c r="N56" s="17">
        <v>2</v>
      </c>
      <c r="O56" s="17">
        <v>2</v>
      </c>
      <c r="P56" s="17">
        <v>2</v>
      </c>
      <c r="Q56" s="17">
        <v>2</v>
      </c>
      <c r="R56" s="17">
        <v>2</v>
      </c>
      <c r="S56" s="10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6"/>
    </row>
    <row r="57" spans="1:28" ht="16.8" x14ac:dyDescent="0.3">
      <c r="A57" s="23"/>
      <c r="B57" s="36"/>
      <c r="C57" s="31" t="s">
        <v>73</v>
      </c>
      <c r="D57" s="31"/>
      <c r="E57" s="29" t="s">
        <v>36</v>
      </c>
      <c r="F57" s="30"/>
      <c r="G57" s="26">
        <f t="shared" si="6"/>
        <v>2</v>
      </c>
      <c r="H57" s="26">
        <v>2</v>
      </c>
      <c r="I57" s="17">
        <v>2</v>
      </c>
      <c r="J57" s="17">
        <v>2</v>
      </c>
      <c r="K57" s="17">
        <v>2</v>
      </c>
      <c r="L57" s="17">
        <v>2</v>
      </c>
      <c r="M57" s="17">
        <v>2</v>
      </c>
      <c r="N57" s="17">
        <v>2</v>
      </c>
      <c r="O57" s="17">
        <v>2</v>
      </c>
      <c r="P57" s="17">
        <v>2</v>
      </c>
      <c r="Q57" s="17">
        <v>2</v>
      </c>
      <c r="R57" s="17">
        <v>2</v>
      </c>
      <c r="S57" s="10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6"/>
    </row>
    <row r="58" spans="1:28" ht="16.8" x14ac:dyDescent="0.3">
      <c r="A58" s="23"/>
      <c r="B58" s="36"/>
      <c r="C58" s="31" t="s">
        <v>74</v>
      </c>
      <c r="D58" s="31"/>
      <c r="E58" s="29" t="s">
        <v>32</v>
      </c>
      <c r="F58" s="30"/>
      <c r="G58" s="26">
        <f>H58+S59</f>
        <v>3</v>
      </c>
      <c r="H58" s="26">
        <v>2</v>
      </c>
      <c r="I58" s="17">
        <v>2</v>
      </c>
      <c r="J58" s="17">
        <v>2</v>
      </c>
      <c r="K58" s="17">
        <v>2</v>
      </c>
      <c r="L58" s="17">
        <v>2</v>
      </c>
      <c r="M58" s="17">
        <v>2</v>
      </c>
      <c r="N58" s="17">
        <v>2</v>
      </c>
      <c r="O58" s="17">
        <v>2</v>
      </c>
      <c r="P58" s="17">
        <v>2</v>
      </c>
      <c r="Q58" s="17">
        <v>2</v>
      </c>
      <c r="R58" s="17">
        <v>2</v>
      </c>
      <c r="S58" s="10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6"/>
    </row>
    <row r="59" spans="1:28" ht="16.8" x14ac:dyDescent="0.3">
      <c r="A59" s="23"/>
      <c r="B59" s="36"/>
      <c r="C59" s="29"/>
      <c r="D59" s="30"/>
      <c r="E59" s="29"/>
      <c r="F59" s="30"/>
      <c r="G59" s="26"/>
      <c r="H59" s="2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2">
        <v>1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6"/>
    </row>
    <row r="60" spans="1:28" ht="16.8" x14ac:dyDescent="0.3">
      <c r="A60" s="23"/>
      <c r="B60" s="36"/>
      <c r="C60" s="31" t="s">
        <v>75</v>
      </c>
      <c r="D60" s="31"/>
      <c r="E60" s="38" t="s">
        <v>38</v>
      </c>
      <c r="F60" s="30"/>
      <c r="G60" s="26">
        <f>H60+T60</f>
        <v>2</v>
      </c>
      <c r="H60" s="26">
        <v>2</v>
      </c>
      <c r="I60" s="17">
        <v>2</v>
      </c>
      <c r="J60" s="17">
        <v>2</v>
      </c>
      <c r="K60" s="17">
        <v>2</v>
      </c>
      <c r="L60" s="17">
        <v>2</v>
      </c>
      <c r="M60" s="17">
        <v>2</v>
      </c>
      <c r="N60" s="17">
        <v>2</v>
      </c>
      <c r="O60" s="17">
        <v>2</v>
      </c>
      <c r="P60" s="17">
        <v>2</v>
      </c>
      <c r="Q60" s="17">
        <v>2</v>
      </c>
      <c r="R60" s="17">
        <v>2</v>
      </c>
      <c r="S60" s="17">
        <v>2</v>
      </c>
      <c r="T60" s="10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6"/>
    </row>
    <row r="61" spans="1:28" ht="16.8" x14ac:dyDescent="0.3">
      <c r="A61" s="23"/>
      <c r="B61" s="36"/>
      <c r="C61" s="31" t="s">
        <v>76</v>
      </c>
      <c r="D61" s="31"/>
      <c r="E61" s="25" t="s">
        <v>40</v>
      </c>
      <c r="F61" s="25"/>
      <c r="G61" s="26">
        <f t="shared" ref="G61:G64" si="7">H61+T61</f>
        <v>2</v>
      </c>
      <c r="H61" s="26">
        <v>2</v>
      </c>
      <c r="I61" s="17">
        <v>2</v>
      </c>
      <c r="J61" s="17">
        <v>2</v>
      </c>
      <c r="K61" s="17">
        <v>2</v>
      </c>
      <c r="L61" s="17">
        <v>2</v>
      </c>
      <c r="M61" s="17">
        <v>2</v>
      </c>
      <c r="N61" s="17">
        <v>2</v>
      </c>
      <c r="O61" s="17">
        <v>2</v>
      </c>
      <c r="P61" s="17">
        <v>2</v>
      </c>
      <c r="Q61" s="17">
        <v>2</v>
      </c>
      <c r="R61" s="17">
        <v>2</v>
      </c>
      <c r="S61" s="17">
        <v>2</v>
      </c>
      <c r="T61" s="10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6"/>
    </row>
    <row r="62" spans="1:28" ht="16.8" x14ac:dyDescent="0.3">
      <c r="A62" s="23"/>
      <c r="B62" s="36"/>
      <c r="C62" s="31" t="s">
        <v>77</v>
      </c>
      <c r="D62" s="31"/>
      <c r="E62" s="29" t="s">
        <v>34</v>
      </c>
      <c r="F62" s="30"/>
      <c r="G62" s="26">
        <f t="shared" si="7"/>
        <v>2</v>
      </c>
      <c r="H62" s="26">
        <v>2</v>
      </c>
      <c r="I62" s="17">
        <v>2</v>
      </c>
      <c r="J62" s="17">
        <v>2</v>
      </c>
      <c r="K62" s="17">
        <v>2</v>
      </c>
      <c r="L62" s="17">
        <v>2</v>
      </c>
      <c r="M62" s="17">
        <v>2</v>
      </c>
      <c r="N62" s="17">
        <v>2</v>
      </c>
      <c r="O62" s="17">
        <v>2</v>
      </c>
      <c r="P62" s="17">
        <v>2</v>
      </c>
      <c r="Q62" s="17">
        <v>2</v>
      </c>
      <c r="R62" s="17">
        <v>2</v>
      </c>
      <c r="S62" s="17">
        <v>2</v>
      </c>
      <c r="T62" s="10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6"/>
    </row>
    <row r="63" spans="1:28" ht="16.8" x14ac:dyDescent="0.3">
      <c r="A63" s="23"/>
      <c r="B63" s="36"/>
      <c r="C63" s="31" t="s">
        <v>78</v>
      </c>
      <c r="D63" s="31"/>
      <c r="E63" s="29" t="s">
        <v>36</v>
      </c>
      <c r="F63" s="30"/>
      <c r="G63" s="26">
        <f t="shared" si="7"/>
        <v>2</v>
      </c>
      <c r="H63" s="26">
        <v>2</v>
      </c>
      <c r="I63" s="17">
        <v>2</v>
      </c>
      <c r="J63" s="17">
        <v>2</v>
      </c>
      <c r="K63" s="17">
        <v>2</v>
      </c>
      <c r="L63" s="17">
        <v>2</v>
      </c>
      <c r="M63" s="17">
        <v>2</v>
      </c>
      <c r="N63" s="17">
        <v>2</v>
      </c>
      <c r="O63" s="17">
        <v>2</v>
      </c>
      <c r="P63" s="17">
        <v>2</v>
      </c>
      <c r="Q63" s="17">
        <v>2</v>
      </c>
      <c r="R63" s="17">
        <v>2</v>
      </c>
      <c r="S63" s="17">
        <v>2</v>
      </c>
      <c r="T63" s="10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6"/>
    </row>
    <row r="64" spans="1:28" ht="16.8" x14ac:dyDescent="0.3">
      <c r="A64" s="23"/>
      <c r="B64" s="36"/>
      <c r="C64" s="31" t="s">
        <v>79</v>
      </c>
      <c r="D64" s="31"/>
      <c r="E64" s="29" t="s">
        <v>32</v>
      </c>
      <c r="F64" s="30"/>
      <c r="G64" s="26">
        <f t="shared" si="7"/>
        <v>2</v>
      </c>
      <c r="H64" s="26">
        <v>2</v>
      </c>
      <c r="I64" s="17">
        <v>2</v>
      </c>
      <c r="J64" s="17">
        <v>2</v>
      </c>
      <c r="K64" s="17">
        <v>2</v>
      </c>
      <c r="L64" s="17">
        <v>2</v>
      </c>
      <c r="M64" s="17">
        <v>2</v>
      </c>
      <c r="N64" s="17">
        <v>2</v>
      </c>
      <c r="O64" s="17">
        <v>2</v>
      </c>
      <c r="P64" s="17">
        <v>2</v>
      </c>
      <c r="Q64" s="17">
        <v>2</v>
      </c>
      <c r="R64" s="17">
        <v>2</v>
      </c>
      <c r="S64" s="17">
        <v>2</v>
      </c>
      <c r="T64" s="10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6"/>
    </row>
    <row r="65" spans="1:28" ht="16.8" x14ac:dyDescent="0.3">
      <c r="A65" s="23"/>
      <c r="B65" s="36"/>
      <c r="C65" s="31" t="s">
        <v>80</v>
      </c>
      <c r="D65" s="31"/>
      <c r="E65" s="39" t="s">
        <v>34</v>
      </c>
      <c r="F65" s="39"/>
      <c r="G65" s="26">
        <f>H65+U66</f>
        <v>3</v>
      </c>
      <c r="H65" s="26">
        <v>2</v>
      </c>
      <c r="I65" s="26">
        <v>2</v>
      </c>
      <c r="J65" s="26">
        <v>2</v>
      </c>
      <c r="K65" s="26">
        <v>2</v>
      </c>
      <c r="L65" s="26">
        <v>2</v>
      </c>
      <c r="M65" s="26">
        <v>2</v>
      </c>
      <c r="N65" s="26">
        <v>2</v>
      </c>
      <c r="O65" s="26">
        <v>2</v>
      </c>
      <c r="P65" s="26">
        <v>2</v>
      </c>
      <c r="Q65" s="26">
        <v>2</v>
      </c>
      <c r="R65" s="26">
        <v>2</v>
      </c>
      <c r="S65" s="26">
        <v>2</v>
      </c>
      <c r="T65" s="26">
        <v>2</v>
      </c>
      <c r="U65" s="10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6"/>
    </row>
    <row r="66" spans="1:28" ht="16.8" x14ac:dyDescent="0.3">
      <c r="A66" s="23"/>
      <c r="B66" s="37"/>
      <c r="C66" s="29"/>
      <c r="D66" s="30"/>
      <c r="E66" s="40"/>
      <c r="F66" s="41"/>
      <c r="G66" s="26"/>
      <c r="H66" s="2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2">
        <v>1</v>
      </c>
      <c r="V66" s="17"/>
      <c r="W66" s="17"/>
      <c r="X66" s="17"/>
      <c r="Y66" s="17"/>
      <c r="Z66" s="17"/>
      <c r="AA66" s="17"/>
      <c r="AB66" s="6"/>
    </row>
    <row r="67" spans="1:28" ht="16.8" x14ac:dyDescent="0.3">
      <c r="A67" s="23"/>
      <c r="B67" s="23" t="s">
        <v>81</v>
      </c>
      <c r="C67" s="31" t="s">
        <v>82</v>
      </c>
      <c r="D67" s="31"/>
      <c r="E67" s="30" t="s">
        <v>40</v>
      </c>
      <c r="F67" s="25"/>
      <c r="G67" s="26">
        <f>H67+U67</f>
        <v>2</v>
      </c>
      <c r="H67" s="26">
        <v>2</v>
      </c>
      <c r="I67" s="17">
        <v>2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0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6"/>
    </row>
    <row r="68" spans="1:28" ht="16.8" x14ac:dyDescent="0.3">
      <c r="A68" s="23"/>
      <c r="B68" s="23"/>
      <c r="C68" s="31" t="s">
        <v>83</v>
      </c>
      <c r="D68" s="31"/>
      <c r="E68" s="29" t="s">
        <v>38</v>
      </c>
      <c r="F68" s="30"/>
      <c r="G68" s="26">
        <f t="shared" ref="G68:G69" si="8">H68+U68</f>
        <v>2</v>
      </c>
      <c r="H68" s="26">
        <v>2</v>
      </c>
      <c r="I68" s="17">
        <v>2</v>
      </c>
      <c r="J68" s="17">
        <v>2</v>
      </c>
      <c r="K68" s="17">
        <v>2</v>
      </c>
      <c r="L68" s="17">
        <v>2</v>
      </c>
      <c r="M68" s="17">
        <v>2</v>
      </c>
      <c r="N68" s="17">
        <v>2</v>
      </c>
      <c r="O68" s="17">
        <v>2</v>
      </c>
      <c r="P68" s="17">
        <v>2</v>
      </c>
      <c r="Q68" s="17">
        <v>2</v>
      </c>
      <c r="R68" s="17">
        <v>2</v>
      </c>
      <c r="S68" s="17">
        <v>2</v>
      </c>
      <c r="T68" s="17">
        <v>2</v>
      </c>
      <c r="U68" s="10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6"/>
    </row>
    <row r="69" spans="1:28" ht="16.8" x14ac:dyDescent="0.3">
      <c r="A69" s="23"/>
      <c r="B69" s="23"/>
      <c r="C69" s="31" t="s">
        <v>84</v>
      </c>
      <c r="D69" s="31"/>
      <c r="E69" s="29" t="s">
        <v>36</v>
      </c>
      <c r="F69" s="30"/>
      <c r="G69" s="26">
        <f t="shared" si="8"/>
        <v>2</v>
      </c>
      <c r="H69" s="26">
        <v>2</v>
      </c>
      <c r="I69" s="17">
        <v>2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>
        <v>2</v>
      </c>
      <c r="S69" s="17">
        <v>2</v>
      </c>
      <c r="T69" s="17">
        <v>2</v>
      </c>
      <c r="U69" s="10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6"/>
    </row>
    <row r="70" spans="1:28" ht="16.8" x14ac:dyDescent="0.3">
      <c r="A70" s="23"/>
      <c r="B70" s="23"/>
      <c r="C70" s="31" t="s">
        <v>85</v>
      </c>
      <c r="D70" s="31"/>
      <c r="E70" s="29" t="s">
        <v>32</v>
      </c>
      <c r="F70" s="30"/>
      <c r="G70" s="26">
        <f>H70+U71</f>
        <v>1</v>
      </c>
      <c r="H70" s="26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0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6"/>
    </row>
    <row r="71" spans="1:28" ht="16.8" x14ac:dyDescent="0.3">
      <c r="A71" s="23"/>
      <c r="B71" s="23"/>
      <c r="C71" s="29"/>
      <c r="D71" s="30"/>
      <c r="E71" s="29"/>
      <c r="F71" s="30"/>
      <c r="G71" s="26"/>
      <c r="H71" s="2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3">
        <v>-1</v>
      </c>
      <c r="V71" s="17"/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6"/>
    </row>
    <row r="72" spans="1:28" ht="16.8" x14ac:dyDescent="0.3">
      <c r="A72" s="23"/>
      <c r="B72" s="23"/>
      <c r="C72" s="31" t="s">
        <v>86</v>
      </c>
      <c r="D72" s="31"/>
      <c r="E72" s="30" t="s">
        <v>40</v>
      </c>
      <c r="F72" s="25"/>
      <c r="G72" s="26">
        <f>H72+V72</f>
        <v>2</v>
      </c>
      <c r="H72" s="26">
        <v>2</v>
      </c>
      <c r="I72" s="17">
        <v>2</v>
      </c>
      <c r="J72" s="17">
        <v>2</v>
      </c>
      <c r="K72" s="17">
        <v>2</v>
      </c>
      <c r="L72" s="17">
        <v>2</v>
      </c>
      <c r="M72" s="17">
        <v>2</v>
      </c>
      <c r="N72" s="17">
        <v>2</v>
      </c>
      <c r="O72" s="17">
        <v>2</v>
      </c>
      <c r="P72" s="17">
        <v>2</v>
      </c>
      <c r="Q72" s="17">
        <v>2</v>
      </c>
      <c r="R72" s="17">
        <v>2</v>
      </c>
      <c r="S72" s="17">
        <v>2</v>
      </c>
      <c r="T72" s="17">
        <v>2</v>
      </c>
      <c r="U72" s="17">
        <v>2</v>
      </c>
      <c r="V72" s="10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6"/>
    </row>
    <row r="73" spans="1:28" ht="16.8" x14ac:dyDescent="0.3">
      <c r="A73" s="23"/>
      <c r="B73" s="23"/>
      <c r="C73" s="31" t="s">
        <v>87</v>
      </c>
      <c r="D73" s="31"/>
      <c r="E73" s="29" t="s">
        <v>32</v>
      </c>
      <c r="F73" s="30"/>
      <c r="G73" s="26">
        <f t="shared" ref="G73:G76" si="9">H73+V73</f>
        <v>2</v>
      </c>
      <c r="H73" s="26">
        <v>2</v>
      </c>
      <c r="I73" s="17">
        <v>2</v>
      </c>
      <c r="J73" s="17">
        <v>2</v>
      </c>
      <c r="K73" s="17">
        <v>2</v>
      </c>
      <c r="L73" s="17">
        <v>2</v>
      </c>
      <c r="M73" s="17">
        <v>2</v>
      </c>
      <c r="N73" s="17">
        <v>2</v>
      </c>
      <c r="O73" s="17">
        <v>2</v>
      </c>
      <c r="P73" s="17">
        <v>2</v>
      </c>
      <c r="Q73" s="17">
        <v>2</v>
      </c>
      <c r="R73" s="17">
        <v>2</v>
      </c>
      <c r="S73" s="17">
        <v>2</v>
      </c>
      <c r="T73" s="17">
        <v>2</v>
      </c>
      <c r="U73" s="17">
        <v>2</v>
      </c>
      <c r="V73" s="10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6"/>
    </row>
    <row r="74" spans="1:28" ht="16.8" x14ac:dyDescent="0.3">
      <c r="A74" s="23"/>
      <c r="B74" s="23"/>
      <c r="C74" s="31" t="s">
        <v>88</v>
      </c>
      <c r="D74" s="31"/>
      <c r="E74" s="29" t="s">
        <v>34</v>
      </c>
      <c r="F74" s="30"/>
      <c r="G74" s="26">
        <f t="shared" si="9"/>
        <v>2</v>
      </c>
      <c r="H74" s="26">
        <v>2</v>
      </c>
      <c r="I74" s="17">
        <v>2</v>
      </c>
      <c r="J74" s="17">
        <v>2</v>
      </c>
      <c r="K74" s="17">
        <v>2</v>
      </c>
      <c r="L74" s="17">
        <v>2</v>
      </c>
      <c r="M74" s="17">
        <v>2</v>
      </c>
      <c r="N74" s="17">
        <v>2</v>
      </c>
      <c r="O74" s="17">
        <v>2</v>
      </c>
      <c r="P74" s="17">
        <v>2</v>
      </c>
      <c r="Q74" s="17">
        <v>2</v>
      </c>
      <c r="R74" s="17">
        <v>2</v>
      </c>
      <c r="S74" s="17">
        <v>2</v>
      </c>
      <c r="T74" s="17">
        <v>2</v>
      </c>
      <c r="U74" s="17">
        <v>2</v>
      </c>
      <c r="V74" s="10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6"/>
    </row>
    <row r="75" spans="1:28" ht="16.8" x14ac:dyDescent="0.3">
      <c r="A75" s="23"/>
      <c r="B75" s="23"/>
      <c r="C75" s="31" t="s">
        <v>89</v>
      </c>
      <c r="D75" s="31"/>
      <c r="E75" s="29" t="s">
        <v>36</v>
      </c>
      <c r="F75" s="30"/>
      <c r="G75" s="26">
        <f t="shared" si="9"/>
        <v>2</v>
      </c>
      <c r="H75" s="26">
        <v>2</v>
      </c>
      <c r="I75" s="17">
        <v>2</v>
      </c>
      <c r="J75" s="17">
        <v>2</v>
      </c>
      <c r="K75" s="17">
        <v>2</v>
      </c>
      <c r="L75" s="17">
        <v>2</v>
      </c>
      <c r="M75" s="17">
        <v>2</v>
      </c>
      <c r="N75" s="17">
        <v>2</v>
      </c>
      <c r="O75" s="17">
        <v>2</v>
      </c>
      <c r="P75" s="17">
        <v>2</v>
      </c>
      <c r="Q75" s="17">
        <v>2</v>
      </c>
      <c r="R75" s="17">
        <v>2</v>
      </c>
      <c r="S75" s="17">
        <v>2</v>
      </c>
      <c r="T75" s="17">
        <v>2</v>
      </c>
      <c r="U75" s="17">
        <v>2</v>
      </c>
      <c r="V75" s="10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6"/>
    </row>
    <row r="76" spans="1:28" ht="16.8" x14ac:dyDescent="0.3">
      <c r="A76" s="23"/>
      <c r="B76" s="23"/>
      <c r="C76" s="31" t="s">
        <v>90</v>
      </c>
      <c r="D76" s="31"/>
      <c r="E76" s="29" t="s">
        <v>38</v>
      </c>
      <c r="F76" s="30"/>
      <c r="G76" s="26">
        <f t="shared" si="9"/>
        <v>2</v>
      </c>
      <c r="H76" s="26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0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6"/>
    </row>
    <row r="77" spans="1:28" ht="16.8" x14ac:dyDescent="0.3">
      <c r="A77" s="23"/>
      <c r="B77" s="35" t="s">
        <v>91</v>
      </c>
      <c r="C77" s="27" t="s">
        <v>92</v>
      </c>
      <c r="D77" s="28"/>
      <c r="E77" s="29" t="s">
        <v>38</v>
      </c>
      <c r="F77" s="30"/>
      <c r="G77" s="26">
        <f>H77+W77</f>
        <v>2</v>
      </c>
      <c r="H77" s="26">
        <v>2</v>
      </c>
      <c r="I77" s="17">
        <v>2</v>
      </c>
      <c r="J77" s="17">
        <v>2</v>
      </c>
      <c r="K77" s="17">
        <v>2</v>
      </c>
      <c r="L77" s="17">
        <v>2</v>
      </c>
      <c r="M77" s="17">
        <v>2</v>
      </c>
      <c r="N77" s="17">
        <v>2</v>
      </c>
      <c r="O77" s="17">
        <v>2</v>
      </c>
      <c r="P77" s="17">
        <v>2</v>
      </c>
      <c r="Q77" s="17">
        <v>2</v>
      </c>
      <c r="R77" s="17">
        <v>2</v>
      </c>
      <c r="S77" s="17">
        <v>2</v>
      </c>
      <c r="T77" s="17">
        <v>2</v>
      </c>
      <c r="U77" s="17">
        <v>2</v>
      </c>
      <c r="V77" s="17">
        <v>2</v>
      </c>
      <c r="W77" s="10">
        <v>0</v>
      </c>
      <c r="X77" s="17">
        <v>0</v>
      </c>
      <c r="Y77" s="17">
        <v>0</v>
      </c>
      <c r="Z77" s="17">
        <v>0</v>
      </c>
      <c r="AA77" s="17">
        <v>0</v>
      </c>
      <c r="AB77" s="6"/>
    </row>
    <row r="78" spans="1:28" ht="16.8" x14ac:dyDescent="0.3">
      <c r="A78" s="23"/>
      <c r="B78" s="36"/>
      <c r="C78" s="27" t="s">
        <v>93</v>
      </c>
      <c r="D78" s="28"/>
      <c r="E78" s="29" t="s">
        <v>40</v>
      </c>
      <c r="F78" s="30"/>
      <c r="G78" s="26">
        <f t="shared" ref="G78:G81" si="10">H78+W78</f>
        <v>2</v>
      </c>
      <c r="H78" s="26">
        <v>2</v>
      </c>
      <c r="I78" s="17">
        <v>2</v>
      </c>
      <c r="J78" s="17">
        <v>2</v>
      </c>
      <c r="K78" s="17">
        <v>2</v>
      </c>
      <c r="L78" s="17">
        <v>2</v>
      </c>
      <c r="M78" s="17">
        <v>2</v>
      </c>
      <c r="N78" s="17">
        <v>2</v>
      </c>
      <c r="O78" s="17">
        <v>2</v>
      </c>
      <c r="P78" s="17">
        <v>2</v>
      </c>
      <c r="Q78" s="17">
        <v>2</v>
      </c>
      <c r="R78" s="17">
        <v>2</v>
      </c>
      <c r="S78" s="17">
        <v>2</v>
      </c>
      <c r="T78" s="17">
        <v>2</v>
      </c>
      <c r="U78" s="17">
        <v>2</v>
      </c>
      <c r="V78" s="17">
        <v>2</v>
      </c>
      <c r="W78" s="10">
        <v>0</v>
      </c>
      <c r="X78" s="17">
        <v>0</v>
      </c>
      <c r="Y78" s="17">
        <v>0</v>
      </c>
      <c r="Z78" s="17">
        <v>0</v>
      </c>
      <c r="AA78" s="17">
        <v>0</v>
      </c>
      <c r="AB78" s="6"/>
    </row>
    <row r="79" spans="1:28" ht="16.8" x14ac:dyDescent="0.3">
      <c r="A79" s="23"/>
      <c r="B79" s="36"/>
      <c r="C79" s="27" t="s">
        <v>94</v>
      </c>
      <c r="D79" s="28"/>
      <c r="E79" s="29" t="s">
        <v>34</v>
      </c>
      <c r="F79" s="30"/>
      <c r="G79" s="26">
        <f t="shared" si="10"/>
        <v>2</v>
      </c>
      <c r="H79" s="26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0">
        <v>0</v>
      </c>
      <c r="X79" s="17">
        <v>0</v>
      </c>
      <c r="Y79" s="17">
        <v>0</v>
      </c>
      <c r="Z79" s="17">
        <v>0</v>
      </c>
      <c r="AA79" s="17">
        <v>0</v>
      </c>
      <c r="AB79" s="6"/>
    </row>
    <row r="80" spans="1:28" ht="16.8" x14ac:dyDescent="0.3">
      <c r="A80" s="23"/>
      <c r="B80" s="36"/>
      <c r="C80" s="27" t="s">
        <v>95</v>
      </c>
      <c r="D80" s="28"/>
      <c r="E80" s="29" t="s">
        <v>36</v>
      </c>
      <c r="F80" s="30"/>
      <c r="G80" s="26">
        <f t="shared" si="10"/>
        <v>2</v>
      </c>
      <c r="H80" s="26">
        <v>2</v>
      </c>
      <c r="I80" s="17">
        <v>2</v>
      </c>
      <c r="J80" s="17">
        <v>2</v>
      </c>
      <c r="K80" s="17">
        <v>2</v>
      </c>
      <c r="L80" s="17">
        <v>2</v>
      </c>
      <c r="M80" s="17">
        <v>2</v>
      </c>
      <c r="N80" s="17">
        <v>2</v>
      </c>
      <c r="O80" s="17">
        <v>2</v>
      </c>
      <c r="P80" s="17">
        <v>2</v>
      </c>
      <c r="Q80" s="17">
        <v>2</v>
      </c>
      <c r="R80" s="17">
        <v>2</v>
      </c>
      <c r="S80" s="17">
        <v>2</v>
      </c>
      <c r="T80" s="17">
        <v>2</v>
      </c>
      <c r="U80" s="17">
        <v>2</v>
      </c>
      <c r="V80" s="17">
        <v>2</v>
      </c>
      <c r="W80" s="10">
        <v>0</v>
      </c>
      <c r="X80" s="17">
        <v>0</v>
      </c>
      <c r="Y80" s="17">
        <v>0</v>
      </c>
      <c r="Z80" s="17">
        <v>0</v>
      </c>
      <c r="AA80" s="17">
        <v>0</v>
      </c>
      <c r="AB80" s="6"/>
    </row>
    <row r="81" spans="1:28" ht="16.8" x14ac:dyDescent="0.3">
      <c r="A81" s="23"/>
      <c r="B81" s="36"/>
      <c r="C81" s="27" t="s">
        <v>96</v>
      </c>
      <c r="D81" s="28"/>
      <c r="E81" s="25" t="s">
        <v>32</v>
      </c>
      <c r="F81" s="25"/>
      <c r="G81" s="26">
        <f t="shared" si="10"/>
        <v>2</v>
      </c>
      <c r="H81" s="26">
        <v>2</v>
      </c>
      <c r="I81" s="17">
        <v>2</v>
      </c>
      <c r="J81" s="17">
        <v>2</v>
      </c>
      <c r="K81" s="17">
        <v>2</v>
      </c>
      <c r="L81" s="17">
        <v>2</v>
      </c>
      <c r="M81" s="17">
        <v>2</v>
      </c>
      <c r="N81" s="17">
        <v>2</v>
      </c>
      <c r="O81" s="17">
        <v>2</v>
      </c>
      <c r="P81" s="17">
        <v>2</v>
      </c>
      <c r="Q81" s="17">
        <v>2</v>
      </c>
      <c r="R81" s="17">
        <v>2</v>
      </c>
      <c r="S81" s="17">
        <v>2</v>
      </c>
      <c r="T81" s="17">
        <v>2</v>
      </c>
      <c r="U81" s="17">
        <v>2</v>
      </c>
      <c r="V81" s="17">
        <v>2</v>
      </c>
      <c r="W81" s="10">
        <v>0</v>
      </c>
      <c r="X81" s="17">
        <v>0</v>
      </c>
      <c r="Y81" s="17">
        <v>0</v>
      </c>
      <c r="Z81" s="17">
        <v>0</v>
      </c>
      <c r="AA81" s="17">
        <v>0</v>
      </c>
      <c r="AB81" s="6"/>
    </row>
    <row r="82" spans="1:28" ht="16.8" x14ac:dyDescent="0.3">
      <c r="A82" s="23"/>
      <c r="B82" s="36"/>
      <c r="C82" s="27" t="s">
        <v>97</v>
      </c>
      <c r="D82" s="28"/>
      <c r="E82" s="29" t="s">
        <v>38</v>
      </c>
      <c r="F82" s="30"/>
      <c r="G82" s="26">
        <f>H82+X82</f>
        <v>2</v>
      </c>
      <c r="H82" s="26">
        <v>2</v>
      </c>
      <c r="I82" s="17">
        <v>2</v>
      </c>
      <c r="J82" s="17">
        <v>2</v>
      </c>
      <c r="K82" s="17">
        <v>2</v>
      </c>
      <c r="L82" s="17">
        <v>2</v>
      </c>
      <c r="M82" s="17">
        <v>2</v>
      </c>
      <c r="N82" s="17">
        <v>2</v>
      </c>
      <c r="O82" s="17">
        <v>2</v>
      </c>
      <c r="P82" s="17">
        <v>2</v>
      </c>
      <c r="Q82" s="17">
        <v>2</v>
      </c>
      <c r="R82" s="17">
        <v>2</v>
      </c>
      <c r="S82" s="17">
        <v>2</v>
      </c>
      <c r="T82" s="17">
        <v>2</v>
      </c>
      <c r="U82" s="17">
        <v>2</v>
      </c>
      <c r="V82" s="17">
        <v>2</v>
      </c>
      <c r="W82" s="17">
        <v>2</v>
      </c>
      <c r="X82" s="10">
        <v>0</v>
      </c>
      <c r="Y82" s="17">
        <v>0</v>
      </c>
      <c r="Z82" s="17">
        <v>0</v>
      </c>
      <c r="AA82" s="17">
        <v>0</v>
      </c>
      <c r="AB82" s="6"/>
    </row>
    <row r="83" spans="1:28" ht="16.8" x14ac:dyDescent="0.3">
      <c r="A83" s="23"/>
      <c r="B83" s="36"/>
      <c r="C83" s="27" t="s">
        <v>98</v>
      </c>
      <c r="D83" s="28"/>
      <c r="E83" s="29" t="s">
        <v>40</v>
      </c>
      <c r="F83" s="30"/>
      <c r="G83" s="26">
        <f t="shared" ref="G83:G86" si="11">H83+X83</f>
        <v>2</v>
      </c>
      <c r="H83" s="26">
        <v>2</v>
      </c>
      <c r="I83" s="17">
        <v>2</v>
      </c>
      <c r="J83" s="17">
        <v>2</v>
      </c>
      <c r="K83" s="17">
        <v>2</v>
      </c>
      <c r="L83" s="17">
        <v>2</v>
      </c>
      <c r="M83" s="17">
        <v>2</v>
      </c>
      <c r="N83" s="17">
        <v>2</v>
      </c>
      <c r="O83" s="17">
        <v>2</v>
      </c>
      <c r="P83" s="17">
        <v>2</v>
      </c>
      <c r="Q83" s="17">
        <v>2</v>
      </c>
      <c r="R83" s="17">
        <v>2</v>
      </c>
      <c r="S83" s="17">
        <v>2</v>
      </c>
      <c r="T83" s="17">
        <v>2</v>
      </c>
      <c r="U83" s="17">
        <v>2</v>
      </c>
      <c r="V83" s="17">
        <v>2</v>
      </c>
      <c r="W83" s="17">
        <v>2</v>
      </c>
      <c r="X83" s="10">
        <v>0</v>
      </c>
      <c r="Y83" s="17">
        <v>0</v>
      </c>
      <c r="Z83" s="17">
        <v>0</v>
      </c>
      <c r="AA83" s="17">
        <v>0</v>
      </c>
      <c r="AB83" s="6"/>
    </row>
    <row r="84" spans="1:28" ht="16.8" x14ac:dyDescent="0.3">
      <c r="A84" s="23"/>
      <c r="B84" s="36"/>
      <c r="C84" s="27" t="s">
        <v>99</v>
      </c>
      <c r="D84" s="28"/>
      <c r="E84" s="29" t="s">
        <v>34</v>
      </c>
      <c r="F84" s="30"/>
      <c r="G84" s="26">
        <f t="shared" si="11"/>
        <v>2</v>
      </c>
      <c r="H84" s="26">
        <v>2</v>
      </c>
      <c r="I84" s="17">
        <v>2</v>
      </c>
      <c r="J84" s="17">
        <v>2</v>
      </c>
      <c r="K84" s="17">
        <v>2</v>
      </c>
      <c r="L84" s="17">
        <v>2</v>
      </c>
      <c r="M84" s="17">
        <v>2</v>
      </c>
      <c r="N84" s="17">
        <v>2</v>
      </c>
      <c r="O84" s="17">
        <v>2</v>
      </c>
      <c r="P84" s="17">
        <v>2</v>
      </c>
      <c r="Q84" s="17">
        <v>2</v>
      </c>
      <c r="R84" s="17">
        <v>2</v>
      </c>
      <c r="S84" s="17">
        <v>2</v>
      </c>
      <c r="T84" s="17">
        <v>2</v>
      </c>
      <c r="U84" s="17">
        <v>2</v>
      </c>
      <c r="V84" s="17">
        <v>2</v>
      </c>
      <c r="W84" s="17">
        <v>2</v>
      </c>
      <c r="X84" s="10">
        <v>0</v>
      </c>
      <c r="Y84" s="17">
        <v>0</v>
      </c>
      <c r="Z84" s="17">
        <v>0</v>
      </c>
      <c r="AA84" s="17">
        <v>0</v>
      </c>
      <c r="AB84" s="6"/>
    </row>
    <row r="85" spans="1:28" ht="16.8" x14ac:dyDescent="0.3">
      <c r="A85" s="23"/>
      <c r="B85" s="36"/>
      <c r="C85" s="27" t="s">
        <v>100</v>
      </c>
      <c r="D85" s="28"/>
      <c r="E85" s="29" t="s">
        <v>36</v>
      </c>
      <c r="F85" s="30"/>
      <c r="G85" s="26">
        <f t="shared" si="11"/>
        <v>2</v>
      </c>
      <c r="H85" s="26">
        <v>2</v>
      </c>
      <c r="I85" s="17">
        <v>2</v>
      </c>
      <c r="J85" s="17">
        <v>2</v>
      </c>
      <c r="K85" s="17">
        <v>2</v>
      </c>
      <c r="L85" s="17">
        <v>2</v>
      </c>
      <c r="M85" s="17">
        <v>2</v>
      </c>
      <c r="N85" s="17">
        <v>2</v>
      </c>
      <c r="O85" s="17">
        <v>2</v>
      </c>
      <c r="P85" s="17">
        <v>2</v>
      </c>
      <c r="Q85" s="17">
        <v>2</v>
      </c>
      <c r="R85" s="17">
        <v>2</v>
      </c>
      <c r="S85" s="17">
        <v>2</v>
      </c>
      <c r="T85" s="17">
        <v>2</v>
      </c>
      <c r="U85" s="17">
        <v>2</v>
      </c>
      <c r="V85" s="17">
        <v>2</v>
      </c>
      <c r="W85" s="17">
        <v>2</v>
      </c>
      <c r="X85" s="10">
        <v>0</v>
      </c>
      <c r="Y85" s="17">
        <v>0</v>
      </c>
      <c r="Z85" s="17">
        <v>0</v>
      </c>
      <c r="AA85" s="17">
        <v>0</v>
      </c>
      <c r="AB85" s="6"/>
    </row>
    <row r="86" spans="1:28" ht="16.8" x14ac:dyDescent="0.3">
      <c r="A86" s="23"/>
      <c r="B86" s="36"/>
      <c r="C86" s="27" t="s">
        <v>101</v>
      </c>
      <c r="D86" s="28"/>
      <c r="E86" s="25" t="s">
        <v>32</v>
      </c>
      <c r="F86" s="25"/>
      <c r="G86" s="26">
        <f t="shared" si="11"/>
        <v>2</v>
      </c>
      <c r="H86" s="26">
        <v>2</v>
      </c>
      <c r="I86" s="17">
        <v>2</v>
      </c>
      <c r="J86" s="17">
        <v>2</v>
      </c>
      <c r="K86" s="17">
        <v>2</v>
      </c>
      <c r="L86" s="17">
        <v>2</v>
      </c>
      <c r="M86" s="17">
        <v>2</v>
      </c>
      <c r="N86" s="17">
        <v>2</v>
      </c>
      <c r="O86" s="17">
        <v>2</v>
      </c>
      <c r="P86" s="17">
        <v>2</v>
      </c>
      <c r="Q86" s="17">
        <v>2</v>
      </c>
      <c r="R86" s="17">
        <v>2</v>
      </c>
      <c r="S86" s="17">
        <v>2</v>
      </c>
      <c r="T86" s="17">
        <v>2</v>
      </c>
      <c r="U86" s="17">
        <v>2</v>
      </c>
      <c r="V86" s="17">
        <v>2</v>
      </c>
      <c r="W86" s="17">
        <v>2</v>
      </c>
      <c r="X86" s="10">
        <v>0</v>
      </c>
      <c r="Y86" s="17">
        <v>0</v>
      </c>
      <c r="Z86" s="17">
        <v>0</v>
      </c>
      <c r="AA86" s="17">
        <v>0</v>
      </c>
      <c r="AB86" s="6"/>
    </row>
    <row r="87" spans="1:28" ht="16.8" x14ac:dyDescent="0.3">
      <c r="A87" s="23"/>
      <c r="B87" s="23" t="s">
        <v>102</v>
      </c>
      <c r="C87" s="31" t="s">
        <v>103</v>
      </c>
      <c r="D87" s="31"/>
      <c r="E87" s="30" t="s">
        <v>40</v>
      </c>
      <c r="F87" s="25"/>
      <c r="G87" s="26">
        <f>H87+Y87</f>
        <v>2</v>
      </c>
      <c r="H87" s="26">
        <v>2</v>
      </c>
      <c r="I87" s="17">
        <v>2</v>
      </c>
      <c r="J87" s="17">
        <v>2</v>
      </c>
      <c r="K87" s="17">
        <v>2</v>
      </c>
      <c r="L87" s="17">
        <v>2</v>
      </c>
      <c r="M87" s="17">
        <v>2</v>
      </c>
      <c r="N87" s="17">
        <v>2</v>
      </c>
      <c r="O87" s="17">
        <v>2</v>
      </c>
      <c r="P87" s="17">
        <v>2</v>
      </c>
      <c r="Q87" s="17">
        <v>2</v>
      </c>
      <c r="R87" s="17">
        <v>2</v>
      </c>
      <c r="S87" s="17">
        <v>2</v>
      </c>
      <c r="T87" s="17">
        <v>2</v>
      </c>
      <c r="U87" s="17">
        <v>2</v>
      </c>
      <c r="V87" s="17">
        <v>2</v>
      </c>
      <c r="W87" s="17">
        <v>2</v>
      </c>
      <c r="X87" s="17">
        <v>2</v>
      </c>
      <c r="Y87" s="10">
        <v>0</v>
      </c>
      <c r="Z87" s="17">
        <v>0</v>
      </c>
      <c r="AA87" s="17">
        <v>0</v>
      </c>
      <c r="AB87" s="6"/>
    </row>
    <row r="88" spans="1:28" ht="16.8" x14ac:dyDescent="0.3">
      <c r="A88" s="23"/>
      <c r="B88" s="23"/>
      <c r="C88" s="31" t="s">
        <v>104</v>
      </c>
      <c r="D88" s="31"/>
      <c r="E88" s="29" t="s">
        <v>38</v>
      </c>
      <c r="F88" s="30"/>
      <c r="G88" s="26">
        <f t="shared" ref="G88:G91" si="12">H88+Y88</f>
        <v>2</v>
      </c>
      <c r="H88" s="26">
        <v>2</v>
      </c>
      <c r="I88" s="17">
        <v>2</v>
      </c>
      <c r="J88" s="17">
        <v>2</v>
      </c>
      <c r="K88" s="17">
        <v>2</v>
      </c>
      <c r="L88" s="17">
        <v>2</v>
      </c>
      <c r="M88" s="17">
        <v>2</v>
      </c>
      <c r="N88" s="17">
        <v>2</v>
      </c>
      <c r="O88" s="17">
        <v>2</v>
      </c>
      <c r="P88" s="17">
        <v>2</v>
      </c>
      <c r="Q88" s="17">
        <v>2</v>
      </c>
      <c r="R88" s="17">
        <v>2</v>
      </c>
      <c r="S88" s="17">
        <v>2</v>
      </c>
      <c r="T88" s="17">
        <v>2</v>
      </c>
      <c r="U88" s="17">
        <v>2</v>
      </c>
      <c r="V88" s="17">
        <v>2</v>
      </c>
      <c r="W88" s="17">
        <v>2</v>
      </c>
      <c r="X88" s="17">
        <v>2</v>
      </c>
      <c r="Y88" s="10">
        <v>0</v>
      </c>
      <c r="Z88" s="17">
        <v>0</v>
      </c>
      <c r="AA88" s="17">
        <v>0</v>
      </c>
      <c r="AB88" s="6"/>
    </row>
    <row r="89" spans="1:28" ht="16.8" x14ac:dyDescent="0.3">
      <c r="A89" s="23"/>
      <c r="B89" s="23"/>
      <c r="C89" s="31" t="s">
        <v>105</v>
      </c>
      <c r="D89" s="31"/>
      <c r="E89" s="29" t="s">
        <v>36</v>
      </c>
      <c r="F89" s="30"/>
      <c r="G89" s="26">
        <f t="shared" si="12"/>
        <v>2</v>
      </c>
      <c r="H89" s="26">
        <v>2</v>
      </c>
      <c r="I89" s="17">
        <v>2</v>
      </c>
      <c r="J89" s="17">
        <v>2</v>
      </c>
      <c r="K89" s="17">
        <v>2</v>
      </c>
      <c r="L89" s="17">
        <v>2</v>
      </c>
      <c r="M89" s="17">
        <v>2</v>
      </c>
      <c r="N89" s="17">
        <v>2</v>
      </c>
      <c r="O89" s="17">
        <v>2</v>
      </c>
      <c r="P89" s="17">
        <v>2</v>
      </c>
      <c r="Q89" s="17">
        <v>2</v>
      </c>
      <c r="R89" s="17">
        <v>2</v>
      </c>
      <c r="S89" s="17">
        <v>2</v>
      </c>
      <c r="T89" s="17">
        <v>2</v>
      </c>
      <c r="U89" s="17">
        <v>2</v>
      </c>
      <c r="V89" s="17">
        <v>2</v>
      </c>
      <c r="W89" s="17">
        <v>2</v>
      </c>
      <c r="X89" s="17">
        <v>2</v>
      </c>
      <c r="Y89" s="10">
        <v>0</v>
      </c>
      <c r="Z89" s="17">
        <v>0</v>
      </c>
      <c r="AA89" s="17">
        <v>0</v>
      </c>
      <c r="AB89" s="6"/>
    </row>
    <row r="90" spans="1:28" ht="16.8" x14ac:dyDescent="0.3">
      <c r="A90" s="23"/>
      <c r="B90" s="23"/>
      <c r="C90" s="31" t="s">
        <v>106</v>
      </c>
      <c r="D90" s="31"/>
      <c r="E90" s="29" t="s">
        <v>32</v>
      </c>
      <c r="F90" s="30"/>
      <c r="G90" s="26">
        <f t="shared" si="12"/>
        <v>2</v>
      </c>
      <c r="H90" s="26">
        <v>2</v>
      </c>
      <c r="I90" s="17">
        <v>2</v>
      </c>
      <c r="J90" s="17">
        <v>2</v>
      </c>
      <c r="K90" s="17">
        <v>2</v>
      </c>
      <c r="L90" s="17">
        <v>2</v>
      </c>
      <c r="M90" s="17">
        <v>2</v>
      </c>
      <c r="N90" s="17">
        <v>2</v>
      </c>
      <c r="O90" s="17">
        <v>2</v>
      </c>
      <c r="P90" s="17">
        <v>2</v>
      </c>
      <c r="Q90" s="17">
        <v>2</v>
      </c>
      <c r="R90" s="17">
        <v>2</v>
      </c>
      <c r="S90" s="17">
        <v>2</v>
      </c>
      <c r="T90" s="17">
        <v>2</v>
      </c>
      <c r="U90" s="17">
        <v>2</v>
      </c>
      <c r="V90" s="17">
        <v>2</v>
      </c>
      <c r="W90" s="17">
        <v>2</v>
      </c>
      <c r="X90" s="17">
        <v>2</v>
      </c>
      <c r="Y90" s="10">
        <v>0</v>
      </c>
      <c r="Z90" s="17">
        <v>0</v>
      </c>
      <c r="AA90" s="17">
        <v>0</v>
      </c>
      <c r="AB90" s="6"/>
    </row>
    <row r="91" spans="1:28" ht="16.8" x14ac:dyDescent="0.3">
      <c r="A91" s="23"/>
      <c r="B91" s="23"/>
      <c r="C91" s="31" t="s">
        <v>107</v>
      </c>
      <c r="D91" s="31"/>
      <c r="E91" s="29" t="s">
        <v>34</v>
      </c>
      <c r="F91" s="30"/>
      <c r="G91" s="26">
        <f t="shared" si="12"/>
        <v>2</v>
      </c>
      <c r="H91" s="26">
        <v>2</v>
      </c>
      <c r="I91" s="17">
        <v>2</v>
      </c>
      <c r="J91" s="17">
        <v>2</v>
      </c>
      <c r="K91" s="17">
        <v>2</v>
      </c>
      <c r="L91" s="17">
        <v>2</v>
      </c>
      <c r="M91" s="17">
        <v>2</v>
      </c>
      <c r="N91" s="17">
        <v>2</v>
      </c>
      <c r="O91" s="17">
        <v>2</v>
      </c>
      <c r="P91" s="17">
        <v>2</v>
      </c>
      <c r="Q91" s="17">
        <v>2</v>
      </c>
      <c r="R91" s="17">
        <v>2</v>
      </c>
      <c r="S91" s="17">
        <v>2</v>
      </c>
      <c r="T91" s="17">
        <v>2</v>
      </c>
      <c r="U91" s="17">
        <v>2</v>
      </c>
      <c r="V91" s="17">
        <v>2</v>
      </c>
      <c r="W91" s="17">
        <v>2</v>
      </c>
      <c r="X91" s="17">
        <v>2</v>
      </c>
      <c r="Y91" s="10">
        <v>0</v>
      </c>
      <c r="Z91" s="17">
        <v>0</v>
      </c>
      <c r="AA91" s="17">
        <v>0</v>
      </c>
      <c r="AB91" s="6"/>
    </row>
    <row r="92" spans="1:28" ht="16.8" x14ac:dyDescent="0.3">
      <c r="A92" s="23"/>
      <c r="B92" s="23"/>
      <c r="C92" s="31" t="s">
        <v>108</v>
      </c>
      <c r="D92" s="31"/>
      <c r="E92" s="30" t="s">
        <v>40</v>
      </c>
      <c r="F92" s="25"/>
      <c r="G92" s="26">
        <f>H92+Z92</f>
        <v>2</v>
      </c>
      <c r="H92" s="26">
        <v>2</v>
      </c>
      <c r="I92" s="17">
        <v>2</v>
      </c>
      <c r="J92" s="17">
        <v>2</v>
      </c>
      <c r="K92" s="17">
        <v>2</v>
      </c>
      <c r="L92" s="17">
        <v>2</v>
      </c>
      <c r="M92" s="17">
        <v>2</v>
      </c>
      <c r="N92" s="17">
        <v>2</v>
      </c>
      <c r="O92" s="17">
        <v>2</v>
      </c>
      <c r="P92" s="17">
        <v>2</v>
      </c>
      <c r="Q92" s="17">
        <v>2</v>
      </c>
      <c r="R92" s="17">
        <v>2</v>
      </c>
      <c r="S92" s="17">
        <v>2</v>
      </c>
      <c r="T92" s="17">
        <v>2</v>
      </c>
      <c r="U92" s="17">
        <v>2</v>
      </c>
      <c r="V92" s="17">
        <v>2</v>
      </c>
      <c r="W92" s="17">
        <v>2</v>
      </c>
      <c r="X92" s="17">
        <v>2</v>
      </c>
      <c r="Y92" s="17">
        <v>2</v>
      </c>
      <c r="Z92" s="10">
        <v>0</v>
      </c>
      <c r="AA92" s="17">
        <v>0</v>
      </c>
      <c r="AB92" s="6"/>
    </row>
    <row r="93" spans="1:28" ht="16.8" x14ac:dyDescent="0.3">
      <c r="A93" s="23"/>
      <c r="B93" s="23"/>
      <c r="C93" s="31" t="s">
        <v>109</v>
      </c>
      <c r="D93" s="31"/>
      <c r="E93" s="29" t="s">
        <v>38</v>
      </c>
      <c r="F93" s="30"/>
      <c r="G93" s="26">
        <f t="shared" ref="G93:G96" si="13">H93+AA93</f>
        <v>2</v>
      </c>
      <c r="H93" s="26">
        <v>2</v>
      </c>
      <c r="I93" s="17">
        <v>2</v>
      </c>
      <c r="J93" s="17">
        <v>2</v>
      </c>
      <c r="K93" s="17">
        <v>2</v>
      </c>
      <c r="L93" s="17">
        <v>2</v>
      </c>
      <c r="M93" s="17">
        <v>2</v>
      </c>
      <c r="N93" s="17">
        <v>2</v>
      </c>
      <c r="O93" s="17">
        <v>2</v>
      </c>
      <c r="P93" s="17">
        <v>2</v>
      </c>
      <c r="Q93" s="17">
        <v>2</v>
      </c>
      <c r="R93" s="17">
        <v>2</v>
      </c>
      <c r="S93" s="17">
        <v>2</v>
      </c>
      <c r="T93" s="17">
        <v>2</v>
      </c>
      <c r="U93" s="17">
        <v>2</v>
      </c>
      <c r="V93" s="17">
        <v>2</v>
      </c>
      <c r="W93" s="17">
        <v>2</v>
      </c>
      <c r="X93" s="17">
        <v>2</v>
      </c>
      <c r="Y93" s="17">
        <v>2</v>
      </c>
      <c r="Z93" s="10">
        <v>0</v>
      </c>
      <c r="AA93" s="17">
        <v>0</v>
      </c>
      <c r="AB93" s="6"/>
    </row>
    <row r="94" spans="1:28" ht="16.8" x14ac:dyDescent="0.3">
      <c r="A94" s="23"/>
      <c r="B94" s="23"/>
      <c r="C94" s="31" t="s">
        <v>110</v>
      </c>
      <c r="D94" s="31"/>
      <c r="E94" s="29" t="s">
        <v>36</v>
      </c>
      <c r="F94" s="30"/>
      <c r="G94" s="26">
        <f t="shared" si="13"/>
        <v>2</v>
      </c>
      <c r="H94" s="26">
        <v>2</v>
      </c>
      <c r="I94" s="17">
        <v>2</v>
      </c>
      <c r="J94" s="17">
        <v>2</v>
      </c>
      <c r="K94" s="17">
        <v>2</v>
      </c>
      <c r="L94" s="17">
        <v>2</v>
      </c>
      <c r="M94" s="17">
        <v>2</v>
      </c>
      <c r="N94" s="17">
        <v>2</v>
      </c>
      <c r="O94" s="17">
        <v>2</v>
      </c>
      <c r="P94" s="17">
        <v>2</v>
      </c>
      <c r="Q94" s="17">
        <v>2</v>
      </c>
      <c r="R94" s="17">
        <v>2</v>
      </c>
      <c r="S94" s="17">
        <v>2</v>
      </c>
      <c r="T94" s="17">
        <v>2</v>
      </c>
      <c r="U94" s="17">
        <v>2</v>
      </c>
      <c r="V94" s="17">
        <v>2</v>
      </c>
      <c r="W94" s="17">
        <v>2</v>
      </c>
      <c r="X94" s="17">
        <v>2</v>
      </c>
      <c r="Y94" s="17">
        <v>2</v>
      </c>
      <c r="Z94" s="10">
        <v>0</v>
      </c>
      <c r="AA94" s="17">
        <v>0</v>
      </c>
      <c r="AB94" s="6"/>
    </row>
    <row r="95" spans="1:28" ht="16.8" x14ac:dyDescent="0.3">
      <c r="A95" s="23"/>
      <c r="B95" s="23"/>
      <c r="C95" s="31" t="s">
        <v>111</v>
      </c>
      <c r="D95" s="31"/>
      <c r="E95" s="29" t="s">
        <v>32</v>
      </c>
      <c r="F95" s="30"/>
      <c r="G95" s="26">
        <f t="shared" si="13"/>
        <v>2</v>
      </c>
      <c r="H95" s="26">
        <v>2</v>
      </c>
      <c r="I95" s="17">
        <v>2</v>
      </c>
      <c r="J95" s="17">
        <v>2</v>
      </c>
      <c r="K95" s="17">
        <v>2</v>
      </c>
      <c r="L95" s="17">
        <v>2</v>
      </c>
      <c r="M95" s="17">
        <v>2</v>
      </c>
      <c r="N95" s="17">
        <v>2</v>
      </c>
      <c r="O95" s="17">
        <v>2</v>
      </c>
      <c r="P95" s="17">
        <v>2</v>
      </c>
      <c r="Q95" s="17">
        <v>2</v>
      </c>
      <c r="R95" s="17">
        <v>2</v>
      </c>
      <c r="S95" s="17">
        <v>2</v>
      </c>
      <c r="T95" s="17">
        <v>2</v>
      </c>
      <c r="U95" s="17">
        <v>2</v>
      </c>
      <c r="V95" s="17">
        <v>2</v>
      </c>
      <c r="W95" s="17">
        <v>2</v>
      </c>
      <c r="X95" s="17">
        <v>2</v>
      </c>
      <c r="Y95" s="17">
        <v>2</v>
      </c>
      <c r="Z95" s="10">
        <v>0</v>
      </c>
      <c r="AA95" s="17">
        <v>0</v>
      </c>
      <c r="AB95" s="6"/>
    </row>
    <row r="96" spans="1:28" ht="16.8" x14ac:dyDescent="0.3">
      <c r="A96" s="23"/>
      <c r="B96" s="23"/>
      <c r="C96" s="31" t="s">
        <v>112</v>
      </c>
      <c r="D96" s="31"/>
      <c r="E96" s="29" t="s">
        <v>34</v>
      </c>
      <c r="F96" s="30"/>
      <c r="G96" s="26">
        <f t="shared" si="13"/>
        <v>2</v>
      </c>
      <c r="H96" s="26">
        <v>2</v>
      </c>
      <c r="I96" s="17">
        <v>2</v>
      </c>
      <c r="J96" s="17">
        <v>2</v>
      </c>
      <c r="K96" s="17">
        <v>2</v>
      </c>
      <c r="L96" s="17">
        <v>2</v>
      </c>
      <c r="M96" s="17">
        <v>2</v>
      </c>
      <c r="N96" s="17">
        <v>2</v>
      </c>
      <c r="O96" s="17">
        <v>2</v>
      </c>
      <c r="P96" s="17">
        <v>2</v>
      </c>
      <c r="Q96" s="17">
        <v>2</v>
      </c>
      <c r="R96" s="17">
        <v>2</v>
      </c>
      <c r="S96" s="17">
        <v>2</v>
      </c>
      <c r="T96" s="17">
        <v>2</v>
      </c>
      <c r="U96" s="17">
        <v>2</v>
      </c>
      <c r="V96" s="17">
        <v>2</v>
      </c>
      <c r="W96" s="17">
        <v>2</v>
      </c>
      <c r="X96" s="17">
        <v>2</v>
      </c>
      <c r="Y96" s="17">
        <v>2</v>
      </c>
      <c r="Z96" s="10">
        <v>0</v>
      </c>
      <c r="AA96" s="17">
        <v>0</v>
      </c>
      <c r="AB96" s="6"/>
    </row>
    <row r="97" spans="1:28" ht="16.8" x14ac:dyDescent="0.3">
      <c r="A97" s="23"/>
      <c r="B97" s="23" t="s">
        <v>113</v>
      </c>
      <c r="C97" s="31" t="s">
        <v>114</v>
      </c>
      <c r="D97" s="31"/>
      <c r="E97" s="39" t="s">
        <v>25</v>
      </c>
      <c r="F97" s="39"/>
      <c r="G97" s="26">
        <f>H97+AA97</f>
        <v>10</v>
      </c>
      <c r="H97" s="26">
        <v>10</v>
      </c>
      <c r="I97" s="17">
        <v>10</v>
      </c>
      <c r="J97" s="17">
        <v>10</v>
      </c>
      <c r="K97" s="17">
        <v>10</v>
      </c>
      <c r="L97" s="17">
        <v>10</v>
      </c>
      <c r="M97" s="17">
        <v>10</v>
      </c>
      <c r="N97" s="17">
        <v>10</v>
      </c>
      <c r="O97" s="17">
        <v>10</v>
      </c>
      <c r="P97" s="17">
        <v>10</v>
      </c>
      <c r="Q97" s="17">
        <v>10</v>
      </c>
      <c r="R97" s="17">
        <v>10</v>
      </c>
      <c r="S97" s="17">
        <v>10</v>
      </c>
      <c r="T97" s="17">
        <v>10</v>
      </c>
      <c r="U97" s="17">
        <v>10</v>
      </c>
      <c r="V97" s="17">
        <v>10</v>
      </c>
      <c r="W97" s="17">
        <v>10</v>
      </c>
      <c r="X97" s="17">
        <v>10</v>
      </c>
      <c r="Y97" s="17">
        <v>10</v>
      </c>
      <c r="Z97" s="17">
        <v>10</v>
      </c>
      <c r="AA97" s="10">
        <v>0</v>
      </c>
      <c r="AB97" s="6"/>
    </row>
    <row r="98" spans="1:28" ht="16.8" x14ac:dyDescent="0.3">
      <c r="A98" s="23"/>
      <c r="B98" s="23"/>
      <c r="C98" s="31" t="s">
        <v>115</v>
      </c>
      <c r="D98" s="31"/>
      <c r="E98" s="39" t="s">
        <v>25</v>
      </c>
      <c r="F98" s="39"/>
      <c r="G98" s="26">
        <f>H98+AA98</f>
        <v>10</v>
      </c>
      <c r="H98" s="26">
        <v>10</v>
      </c>
      <c r="I98" s="17">
        <v>10</v>
      </c>
      <c r="J98" s="17">
        <v>10</v>
      </c>
      <c r="K98" s="17">
        <v>10</v>
      </c>
      <c r="L98" s="17">
        <v>10</v>
      </c>
      <c r="M98" s="17">
        <v>10</v>
      </c>
      <c r="N98" s="17">
        <v>10</v>
      </c>
      <c r="O98" s="17">
        <v>10</v>
      </c>
      <c r="P98" s="17">
        <v>10</v>
      </c>
      <c r="Q98" s="17">
        <v>10</v>
      </c>
      <c r="R98" s="17">
        <v>10</v>
      </c>
      <c r="S98" s="17">
        <v>10</v>
      </c>
      <c r="T98" s="17">
        <v>10</v>
      </c>
      <c r="U98" s="17">
        <v>10</v>
      </c>
      <c r="V98" s="17">
        <v>10</v>
      </c>
      <c r="W98" s="17">
        <v>10</v>
      </c>
      <c r="X98" s="17">
        <v>10</v>
      </c>
      <c r="Y98" s="17">
        <v>10</v>
      </c>
      <c r="Z98" s="17">
        <v>10</v>
      </c>
      <c r="AA98" s="10">
        <v>0</v>
      </c>
      <c r="AB98" s="6"/>
    </row>
    <row r="99" spans="1:28" ht="16.8" x14ac:dyDescent="0.3">
      <c r="A99" s="23"/>
      <c r="B99" s="14" t="s">
        <v>19</v>
      </c>
      <c r="C99" s="14"/>
      <c r="D99" s="14"/>
      <c r="E99" s="42" t="s">
        <v>12</v>
      </c>
      <c r="F99" s="42"/>
      <c r="G99" s="42">
        <f>SUM(G16:G98)</f>
        <v>203</v>
      </c>
      <c r="H99" s="42"/>
      <c r="I99" s="17">
        <f t="shared" ref="I99:N99" si="14">SUM(I16:I98)</f>
        <v>190</v>
      </c>
      <c r="J99" s="17">
        <f t="shared" si="14"/>
        <v>180</v>
      </c>
      <c r="K99" s="17">
        <f t="shared" si="14"/>
        <v>170</v>
      </c>
      <c r="L99" s="17">
        <f t="shared" si="14"/>
        <v>160</v>
      </c>
      <c r="M99" s="17">
        <f t="shared" si="14"/>
        <v>150</v>
      </c>
      <c r="N99" s="17">
        <f t="shared" si="14"/>
        <v>140</v>
      </c>
      <c r="O99" s="17">
        <f>SUM(O16:O98)+O36</f>
        <v>132</v>
      </c>
      <c r="P99" s="17">
        <f>SUM(P16:P98)+P42</f>
        <v>118</v>
      </c>
      <c r="Q99" s="17">
        <f>SUM(Q16:Q98)</f>
        <v>110</v>
      </c>
      <c r="R99" s="17">
        <f>SUM(R16:R98)+R49</f>
        <v>104</v>
      </c>
      <c r="S99" s="17">
        <f>SUM(S16:S98)+S59</f>
        <v>92</v>
      </c>
      <c r="T99" s="17">
        <f>SUM(T16:T98)</f>
        <v>80</v>
      </c>
      <c r="U99" s="17">
        <f>SUM(U16:U98)+U66+U71</f>
        <v>70</v>
      </c>
      <c r="V99" s="17">
        <f>SUM(V16:V98)+V71</f>
        <v>60</v>
      </c>
      <c r="W99" s="17">
        <f>SUM(W16:W98)</f>
        <v>50</v>
      </c>
      <c r="X99" s="17">
        <f>SUM(X16:X98)</f>
        <v>40</v>
      </c>
      <c r="Y99" s="17">
        <f>SUM(Y16:Y98)</f>
        <v>30</v>
      </c>
      <c r="Z99" s="17">
        <f>SUM(Z16:Z98)</f>
        <v>20</v>
      </c>
      <c r="AA99" s="17">
        <f>SUM(AA16:AA98)</f>
        <v>0</v>
      </c>
      <c r="AB99" s="6"/>
    </row>
    <row r="100" spans="1:28" ht="16.8" x14ac:dyDescent="0.3">
      <c r="A100" s="23"/>
      <c r="B100" s="14"/>
      <c r="C100" s="14"/>
      <c r="D100" s="14"/>
      <c r="E100" s="42" t="s">
        <v>13</v>
      </c>
      <c r="F100" s="42"/>
      <c r="G100" s="42">
        <f>SUM(H16:H98)</f>
        <v>200</v>
      </c>
      <c r="H100" s="42"/>
      <c r="I100" s="17">
        <f t="shared" ref="I100:AA100" si="15">SUM(I16:I98)</f>
        <v>190</v>
      </c>
      <c r="J100" s="17">
        <f t="shared" si="15"/>
        <v>180</v>
      </c>
      <c r="K100" s="17">
        <f t="shared" si="15"/>
        <v>170</v>
      </c>
      <c r="L100" s="17">
        <f t="shared" si="15"/>
        <v>160</v>
      </c>
      <c r="M100" s="17">
        <f t="shared" si="15"/>
        <v>150</v>
      </c>
      <c r="N100" s="17">
        <f t="shared" si="15"/>
        <v>140</v>
      </c>
      <c r="O100" s="17">
        <f t="shared" si="15"/>
        <v>131</v>
      </c>
      <c r="P100" s="17">
        <f t="shared" si="15"/>
        <v>119</v>
      </c>
      <c r="Q100" s="17">
        <f t="shared" si="15"/>
        <v>110</v>
      </c>
      <c r="R100" s="17">
        <f t="shared" si="15"/>
        <v>102</v>
      </c>
      <c r="S100" s="17">
        <f t="shared" si="15"/>
        <v>91</v>
      </c>
      <c r="T100" s="17">
        <f t="shared" si="15"/>
        <v>80</v>
      </c>
      <c r="U100" s="17">
        <f t="shared" si="15"/>
        <v>70</v>
      </c>
      <c r="V100" s="17">
        <f t="shared" si="15"/>
        <v>60</v>
      </c>
      <c r="W100" s="17">
        <f t="shared" si="15"/>
        <v>50</v>
      </c>
      <c r="X100" s="17">
        <f t="shared" si="15"/>
        <v>40</v>
      </c>
      <c r="Y100" s="17">
        <f t="shared" si="15"/>
        <v>30</v>
      </c>
      <c r="Z100" s="17">
        <f t="shared" si="15"/>
        <v>20</v>
      </c>
      <c r="AA100" s="17">
        <f t="shared" si="15"/>
        <v>0</v>
      </c>
      <c r="AB100" s="6"/>
    </row>
    <row r="101" spans="1:28" ht="16.8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5"/>
      <c r="AA101" s="5"/>
      <c r="AB101" s="5"/>
    </row>
    <row r="102" spans="1:28" ht="16.8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6.8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6.8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6.8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6.8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6.8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6.8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6.8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6.8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6.8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6.8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6.8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6.8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6.8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6.8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6.8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6.8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6.8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6.8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6.8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6.8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6.8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6.8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6.8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6.8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6.8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6.8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6.8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6.8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6.8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6.8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</sheetData>
  <mergeCells count="194">
    <mergeCell ref="G99:H99"/>
    <mergeCell ref="E100:F100"/>
    <mergeCell ref="G100:H100"/>
    <mergeCell ref="B97:B98"/>
    <mergeCell ref="C97:D97"/>
    <mergeCell ref="E97:F97"/>
    <mergeCell ref="C98:D98"/>
    <mergeCell ref="E98:F98"/>
    <mergeCell ref="B99:D100"/>
    <mergeCell ref="E99:F99"/>
    <mergeCell ref="C94:D94"/>
    <mergeCell ref="E94:F94"/>
    <mergeCell ref="C95:D95"/>
    <mergeCell ref="E95:F95"/>
    <mergeCell ref="C96:D96"/>
    <mergeCell ref="E96:F96"/>
    <mergeCell ref="E90:F90"/>
    <mergeCell ref="C91:D91"/>
    <mergeCell ref="E91:F91"/>
    <mergeCell ref="C92:D92"/>
    <mergeCell ref="E92:F92"/>
    <mergeCell ref="C93:D93"/>
    <mergeCell ref="E93:F93"/>
    <mergeCell ref="C86:D86"/>
    <mergeCell ref="E86:F86"/>
    <mergeCell ref="B87:B96"/>
    <mergeCell ref="C87:D87"/>
    <mergeCell ref="E87:F87"/>
    <mergeCell ref="C88:D88"/>
    <mergeCell ref="E88:F88"/>
    <mergeCell ref="C89:D89"/>
    <mergeCell ref="E89:F89"/>
    <mergeCell ref="C90:D90"/>
    <mergeCell ref="C83:D83"/>
    <mergeCell ref="E83:F83"/>
    <mergeCell ref="C84:D84"/>
    <mergeCell ref="E84:F84"/>
    <mergeCell ref="C85:D85"/>
    <mergeCell ref="E85:F85"/>
    <mergeCell ref="E79:F79"/>
    <mergeCell ref="C80:D80"/>
    <mergeCell ref="E80:F80"/>
    <mergeCell ref="C81:D81"/>
    <mergeCell ref="E81:F81"/>
    <mergeCell ref="C82:D82"/>
    <mergeCell ref="E82:F82"/>
    <mergeCell ref="C75:D75"/>
    <mergeCell ref="E75:F75"/>
    <mergeCell ref="C76:D76"/>
    <mergeCell ref="E76:F76"/>
    <mergeCell ref="B77:B86"/>
    <mergeCell ref="C77:D77"/>
    <mergeCell ref="E77:F77"/>
    <mergeCell ref="C78:D78"/>
    <mergeCell ref="E78:F78"/>
    <mergeCell ref="C79:D79"/>
    <mergeCell ref="E71:F71"/>
    <mergeCell ref="C72:D72"/>
    <mergeCell ref="E72:F72"/>
    <mergeCell ref="C73:D73"/>
    <mergeCell ref="E73:F73"/>
    <mergeCell ref="C74:D74"/>
    <mergeCell ref="E74:F74"/>
    <mergeCell ref="B67:B7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58:D58"/>
    <mergeCell ref="E58:F58"/>
    <mergeCell ref="C59:D59"/>
    <mergeCell ref="E59:F59"/>
    <mergeCell ref="C60:D60"/>
    <mergeCell ref="E60:F60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E45:F45"/>
    <mergeCell ref="C46:D46"/>
    <mergeCell ref="E46:F46"/>
    <mergeCell ref="C47:D47"/>
    <mergeCell ref="E47:F47"/>
    <mergeCell ref="C48:D48"/>
    <mergeCell ref="E48:F48"/>
    <mergeCell ref="C41:D41"/>
    <mergeCell ref="E41:F41"/>
    <mergeCell ref="C42:D42"/>
    <mergeCell ref="E42:F42"/>
    <mergeCell ref="B43:B66"/>
    <mergeCell ref="C43:D43"/>
    <mergeCell ref="E43:F43"/>
    <mergeCell ref="C44:D44"/>
    <mergeCell ref="E44:F44"/>
    <mergeCell ref="C45:D45"/>
    <mergeCell ref="C38:D38"/>
    <mergeCell ref="E38:F38"/>
    <mergeCell ref="C39:D39"/>
    <mergeCell ref="E39:F39"/>
    <mergeCell ref="C40:D40"/>
    <mergeCell ref="E40:F40"/>
    <mergeCell ref="E34:F34"/>
    <mergeCell ref="C35:D35"/>
    <mergeCell ref="E35:F35"/>
    <mergeCell ref="C36:D36"/>
    <mergeCell ref="E36:F36"/>
    <mergeCell ref="C37:D37"/>
    <mergeCell ref="E37:F37"/>
    <mergeCell ref="B30:B42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C27:D27"/>
    <mergeCell ref="E27:F27"/>
    <mergeCell ref="C28:D28"/>
    <mergeCell ref="E28:F28"/>
    <mergeCell ref="C29:D29"/>
    <mergeCell ref="E29:F29"/>
    <mergeCell ref="E23:F23"/>
    <mergeCell ref="C24:D24"/>
    <mergeCell ref="E24:F24"/>
    <mergeCell ref="C25:D25"/>
    <mergeCell ref="E25:F25"/>
    <mergeCell ref="C26:D26"/>
    <mergeCell ref="E26:F26"/>
    <mergeCell ref="B19:B29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B13:C13"/>
    <mergeCell ref="C15:D15"/>
    <mergeCell ref="E15:F15"/>
    <mergeCell ref="A16:A100"/>
    <mergeCell ref="B16:D16"/>
    <mergeCell ref="E16:F16"/>
    <mergeCell ref="B17:D17"/>
    <mergeCell ref="E17:F17"/>
    <mergeCell ref="B18:D18"/>
    <mergeCell ref="E18:F18"/>
    <mergeCell ref="K3:M3"/>
    <mergeCell ref="A4:B4"/>
    <mergeCell ref="C4:G4"/>
    <mergeCell ref="K4:M4"/>
    <mergeCell ref="K5:M5"/>
    <mergeCell ref="B6:E6"/>
    <mergeCell ref="A1:B1"/>
    <mergeCell ref="C1:G1"/>
    <mergeCell ref="A2:B2"/>
    <mergeCell ref="C2:G2"/>
    <mergeCell ref="A3:B3"/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2026-04-24T16:43:03Z</dcterms:created>
  <dcterms:modified xsi:type="dcterms:W3CDTF">2026-04-24T16:45:13Z</dcterms:modified>
</cp:coreProperties>
</file>