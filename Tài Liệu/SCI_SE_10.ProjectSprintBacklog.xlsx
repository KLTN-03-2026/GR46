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MOI\Desktop\KLTN (1)\"/>
    </mc:Choice>
  </mc:AlternateContent>
  <xr:revisionPtr revIDLastSave="0" documentId="13_ncr:1_{F28AD0B2-2A9F-47F6-A525-E0BD971A0AB8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print1" sheetId="4" r:id="rId1"/>
    <sheet name="Sprint2" sheetId="1" r:id="rId2"/>
    <sheet name="Sprint3" sheetId="2" r:id="rId3"/>
    <sheet name="Total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64" i="4" l="1"/>
  <c r="U65" i="4"/>
  <c r="Z97" i="2"/>
  <c r="T97" i="2" l="1"/>
  <c r="U97" i="2"/>
  <c r="O99" i="1"/>
  <c r="P99" i="1"/>
  <c r="R99" i="1"/>
  <c r="S99" i="1"/>
  <c r="G50" i="1"/>
  <c r="G64" i="1"/>
  <c r="G65" i="1"/>
  <c r="G41" i="1"/>
  <c r="G38" i="1"/>
  <c r="G39" i="1"/>
  <c r="G40" i="1"/>
  <c r="G37" i="1"/>
  <c r="G35" i="1"/>
  <c r="G31" i="1"/>
  <c r="G32" i="1"/>
  <c r="G33" i="1"/>
  <c r="G34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T64" i="4"/>
  <c r="Q64" i="4"/>
  <c r="P64" i="4"/>
  <c r="N64" i="4"/>
  <c r="M64" i="4"/>
  <c r="K64" i="4"/>
  <c r="G48" i="4"/>
  <c r="G63" i="4"/>
  <c r="G62" i="4"/>
  <c r="G58" i="4"/>
  <c r="G59" i="4"/>
  <c r="G60" i="4"/>
  <c r="G61" i="4"/>
  <c r="G57" i="4"/>
  <c r="G53" i="4"/>
  <c r="G54" i="4"/>
  <c r="G55" i="4"/>
  <c r="G56" i="4"/>
  <c r="G52" i="4"/>
  <c r="G51" i="4"/>
  <c r="G50" i="4"/>
  <c r="G46" i="4"/>
  <c r="G47" i="4"/>
  <c r="G45" i="4"/>
  <c r="G44" i="4"/>
  <c r="G43" i="4"/>
  <c r="G41" i="4"/>
  <c r="G40" i="4"/>
  <c r="G39" i="4"/>
  <c r="G35" i="4"/>
  <c r="G36" i="4"/>
  <c r="G37" i="4"/>
  <c r="G38" i="4"/>
  <c r="G34" i="4"/>
  <c r="G32" i="4"/>
  <c r="G31" i="4"/>
  <c r="G30" i="4"/>
  <c r="G28" i="4"/>
  <c r="G27" i="4"/>
  <c r="G26" i="4"/>
  <c r="G25" i="4"/>
  <c r="G24" i="4"/>
  <c r="G23" i="4"/>
  <c r="G21" i="4"/>
  <c r="G20" i="4"/>
  <c r="G19" i="4"/>
  <c r="G18" i="4"/>
  <c r="G17" i="4"/>
  <c r="G16" i="4"/>
  <c r="AB98" i="2" l="1"/>
  <c r="AA98" i="2"/>
  <c r="AB97" i="2"/>
  <c r="AA97" i="2"/>
  <c r="G59" i="2"/>
  <c r="G54" i="2"/>
  <c r="S97" i="2"/>
  <c r="P97" i="2"/>
  <c r="Q97" i="2"/>
  <c r="Q98" i="2"/>
  <c r="G96" i="2"/>
  <c r="G95" i="2"/>
  <c r="G85" i="2"/>
  <c r="G80" i="2"/>
  <c r="G75" i="2"/>
  <c r="G72" i="2"/>
  <c r="G71" i="2"/>
  <c r="G73" i="2"/>
  <c r="G74" i="2"/>
  <c r="G70" i="2"/>
  <c r="G67" i="2"/>
  <c r="G66" i="2"/>
  <c r="G69" i="2"/>
  <c r="G65" i="2"/>
  <c r="G52" i="2"/>
  <c r="G50" i="2"/>
  <c r="G46" i="2"/>
  <c r="G47" i="2"/>
  <c r="G43" i="2"/>
  <c r="G44" i="2"/>
  <c r="G45" i="2"/>
  <c r="G42" i="2"/>
  <c r="G35" i="2"/>
  <c r="G40" i="2"/>
  <c r="G37" i="2"/>
  <c r="G38" i="2"/>
  <c r="G39" i="2"/>
  <c r="G36" i="2"/>
  <c r="G30" i="2"/>
  <c r="G34" i="2"/>
  <c r="G33" i="2"/>
  <c r="G32" i="2"/>
  <c r="G31" i="2"/>
  <c r="G29" i="2"/>
  <c r="G25" i="2"/>
  <c r="G26" i="2"/>
  <c r="G27" i="2"/>
  <c r="G28" i="2"/>
  <c r="G24" i="2"/>
  <c r="Z98" i="2"/>
  <c r="Y99" i="1"/>
  <c r="U99" i="1"/>
  <c r="N99" i="1"/>
  <c r="G98" i="1"/>
  <c r="G97" i="1"/>
  <c r="G92" i="1"/>
  <c r="G88" i="1"/>
  <c r="G89" i="1"/>
  <c r="G90" i="1"/>
  <c r="G91" i="1"/>
  <c r="G87" i="1"/>
  <c r="G83" i="1"/>
  <c r="G84" i="1"/>
  <c r="G85" i="1"/>
  <c r="G86" i="1"/>
  <c r="G82" i="1"/>
  <c r="G78" i="1"/>
  <c r="G79" i="1"/>
  <c r="G80" i="1"/>
  <c r="G81" i="1"/>
  <c r="G77" i="1"/>
  <c r="G73" i="1"/>
  <c r="G74" i="1"/>
  <c r="G75" i="1"/>
  <c r="G76" i="1"/>
  <c r="G72" i="1"/>
  <c r="G70" i="1"/>
  <c r="G68" i="1"/>
  <c r="G69" i="1"/>
  <c r="G67" i="1"/>
  <c r="E9" i="2" l="1"/>
  <c r="E8" i="2"/>
  <c r="M65" i="4"/>
  <c r="P100" i="1"/>
  <c r="S100" i="1"/>
  <c r="V100" i="1"/>
  <c r="V99" i="1"/>
  <c r="Y100" i="1"/>
  <c r="V97" i="2"/>
  <c r="W98" i="2"/>
  <c r="O97" i="2"/>
  <c r="O98" i="2"/>
  <c r="N98" i="2"/>
  <c r="G91" i="2"/>
  <c r="G92" i="2"/>
  <c r="G93" i="2"/>
  <c r="G94" i="2"/>
  <c r="G90" i="2"/>
  <c r="G86" i="2"/>
  <c r="G87" i="2"/>
  <c r="G88" i="2"/>
  <c r="G89" i="2"/>
  <c r="G81" i="2"/>
  <c r="G82" i="2"/>
  <c r="G83" i="2"/>
  <c r="G84" i="2"/>
  <c r="G76" i="2"/>
  <c r="G77" i="2"/>
  <c r="G78" i="2"/>
  <c r="G79" i="2"/>
  <c r="G58" i="2"/>
  <c r="G61" i="2"/>
  <c r="G62" i="2"/>
  <c r="G57" i="2"/>
  <c r="G56" i="2"/>
  <c r="G55" i="2"/>
  <c r="G53" i="2"/>
  <c r="G49" i="2"/>
  <c r="G51" i="2"/>
  <c r="G48" i="2"/>
  <c r="G20" i="2"/>
  <c r="G21" i="2"/>
  <c r="G22" i="2"/>
  <c r="G23" i="2"/>
  <c r="G19" i="2"/>
  <c r="G63" i="2"/>
  <c r="E9" i="1" l="1"/>
  <c r="E8" i="1"/>
  <c r="T99" i="1"/>
  <c r="Q99" i="1"/>
  <c r="G93" i="1"/>
  <c r="G94" i="1"/>
  <c r="G95" i="1"/>
  <c r="G96" i="1"/>
  <c r="G61" i="1"/>
  <c r="G62" i="1"/>
  <c r="G63" i="1"/>
  <c r="G60" i="1"/>
  <c r="G58" i="1"/>
  <c r="G55" i="1"/>
  <c r="G56" i="1"/>
  <c r="G57" i="1"/>
  <c r="G54" i="1"/>
  <c r="G51" i="1"/>
  <c r="G52" i="1"/>
  <c r="G53" i="1"/>
  <c r="G48" i="1"/>
  <c r="G44" i="1"/>
  <c r="G45" i="1"/>
  <c r="G46" i="1"/>
  <c r="G47" i="1"/>
  <c r="G43" i="1"/>
  <c r="D8" i="1"/>
  <c r="G16" i="1"/>
  <c r="S64" i="4"/>
  <c r="P65" i="4"/>
  <c r="D9" i="1" l="1"/>
  <c r="J99" i="1"/>
  <c r="K99" i="1"/>
  <c r="L99" i="1"/>
  <c r="M99" i="1"/>
  <c r="W99" i="1"/>
  <c r="X99" i="1"/>
  <c r="Z99" i="1"/>
  <c r="AA99" i="1"/>
  <c r="G18" i="2" l="1"/>
  <c r="D8" i="2" s="1"/>
  <c r="G17" i="2"/>
  <c r="D9" i="2" s="1"/>
  <c r="G16" i="2"/>
  <c r="G97" i="2" s="1"/>
  <c r="D10" i="4" l="1"/>
  <c r="E11" i="4"/>
  <c r="E10" i="4"/>
  <c r="E12" i="4"/>
  <c r="E9" i="4"/>
  <c r="E5" i="3" s="1"/>
  <c r="E8" i="4"/>
  <c r="C5" i="3" s="1"/>
  <c r="D11" i="4"/>
  <c r="D8" i="4"/>
  <c r="B5" i="3" s="1"/>
  <c r="D9" i="4"/>
  <c r="D5" i="3" s="1"/>
  <c r="D12" i="4"/>
  <c r="E12" i="2"/>
  <c r="K7" i="3" s="1"/>
  <c r="E7" i="3"/>
  <c r="E11" i="2"/>
  <c r="I7" i="3" s="1"/>
  <c r="E10" i="2"/>
  <c r="G7" i="3" s="1"/>
  <c r="C7" i="3"/>
  <c r="B7" i="3"/>
  <c r="D12" i="2"/>
  <c r="J7" i="3" s="1"/>
  <c r="D7" i="3"/>
  <c r="D10" i="2"/>
  <c r="F7" i="3" s="1"/>
  <c r="D11" i="2"/>
  <c r="H7" i="3" s="1"/>
  <c r="D6" i="3"/>
  <c r="B6" i="3"/>
  <c r="J64" i="4"/>
  <c r="L64" i="4"/>
  <c r="O64" i="4"/>
  <c r="R64" i="4"/>
  <c r="J65" i="4"/>
  <c r="K65" i="4"/>
  <c r="L65" i="4"/>
  <c r="N65" i="4"/>
  <c r="O65" i="4"/>
  <c r="Q65" i="4"/>
  <c r="R65" i="4"/>
  <c r="S65" i="4"/>
  <c r="T65" i="4"/>
  <c r="J100" i="1"/>
  <c r="K100" i="1"/>
  <c r="L100" i="1"/>
  <c r="M100" i="1"/>
  <c r="N100" i="1"/>
  <c r="O100" i="1"/>
  <c r="Q100" i="1"/>
  <c r="R100" i="1"/>
  <c r="T100" i="1"/>
  <c r="U100" i="1"/>
  <c r="W100" i="1"/>
  <c r="X100" i="1"/>
  <c r="Z100" i="1"/>
  <c r="P98" i="2"/>
  <c r="J98" i="2"/>
  <c r="K98" i="2"/>
  <c r="L98" i="2"/>
  <c r="M98" i="2"/>
  <c r="R98" i="2"/>
  <c r="S98" i="2"/>
  <c r="T98" i="2"/>
  <c r="U98" i="2"/>
  <c r="V98" i="2"/>
  <c r="X98" i="2"/>
  <c r="Y98" i="2"/>
  <c r="J97" i="2"/>
  <c r="K97" i="2"/>
  <c r="L97" i="2"/>
  <c r="M97" i="2"/>
  <c r="N97" i="2"/>
  <c r="R97" i="2"/>
  <c r="W97" i="2"/>
  <c r="X97" i="2"/>
  <c r="Y97" i="2"/>
  <c r="E12" i="1"/>
  <c r="K6" i="3" s="1"/>
  <c r="E6" i="3"/>
  <c r="E11" i="1"/>
  <c r="I6" i="3" s="1"/>
  <c r="E10" i="1"/>
  <c r="G6" i="3" s="1"/>
  <c r="C6" i="3"/>
  <c r="D12" i="1"/>
  <c r="J6" i="3" s="1"/>
  <c r="D11" i="1"/>
  <c r="H6" i="3" s="1"/>
  <c r="D10" i="1"/>
  <c r="F6" i="3" s="1"/>
  <c r="G100" i="1"/>
  <c r="G99" i="1"/>
  <c r="D13" i="2" l="1"/>
  <c r="K5" i="3"/>
  <c r="I5" i="3"/>
  <c r="G5" i="3"/>
  <c r="J5" i="3"/>
  <c r="F5" i="3"/>
  <c r="H5" i="3"/>
  <c r="I65" i="4" l="1"/>
  <c r="I64" i="4"/>
  <c r="G65" i="4" l="1"/>
  <c r="G64" i="4"/>
  <c r="C8" i="3" l="1"/>
  <c r="E8" i="3"/>
  <c r="G8" i="3"/>
  <c r="I8" i="3"/>
  <c r="K8" i="3"/>
  <c r="F13" i="3" l="1"/>
  <c r="B8" i="3"/>
  <c r="F8" i="3"/>
  <c r="J8" i="3"/>
  <c r="H8" i="3"/>
  <c r="D8" i="3"/>
  <c r="F12" i="3" l="1"/>
  <c r="D13" i="4"/>
  <c r="E13" i="4"/>
  <c r="I98" i="2" l="1"/>
  <c r="G98" i="2"/>
  <c r="I97" i="2"/>
  <c r="I100" i="1"/>
  <c r="I99" i="1"/>
  <c r="E13" i="2" l="1"/>
  <c r="D13" i="1"/>
  <c r="E13" i="1"/>
  <c r="AA100" i="1"/>
</calcChain>
</file>

<file path=xl/sharedStrings.xml><?xml version="1.0" encoding="utf-8"?>
<sst xmlns="http://schemas.openxmlformats.org/spreadsheetml/2006/main" count="530" uniqueCount="244">
  <si>
    <t>Project name:</t>
  </si>
  <si>
    <t>Kết thúc đúng hạn</t>
  </si>
  <si>
    <t>Module name:</t>
  </si>
  <si>
    <t>Sprint 1</t>
  </si>
  <si>
    <t>Muộn</t>
  </si>
  <si>
    <t>Start date:</t>
  </si>
  <si>
    <t>Trước thời hạn</t>
  </si>
  <si>
    <t>End date:</t>
  </si>
  <si>
    <t>SPRINT 1 REPORT</t>
  </si>
  <si>
    <t>No</t>
  </si>
  <si>
    <t>Thành viên</t>
  </si>
  <si>
    <t>Thực tế</t>
  </si>
  <si>
    <t>Ước tính</t>
  </si>
  <si>
    <t>Tổng</t>
  </si>
  <si>
    <t>Sprint</t>
  </si>
  <si>
    <t>Compoment</t>
  </si>
  <si>
    <t>Task name</t>
  </si>
  <si>
    <t>Responsible Member</t>
  </si>
  <si>
    <t>Họp kế hoạch Sprint</t>
  </si>
  <si>
    <t>All team</t>
  </si>
  <si>
    <t>Tạo Sprint Backlog 1</t>
  </si>
  <si>
    <t>Tạo tài liệu kiểm thử cho Sprint</t>
  </si>
  <si>
    <t>User interface design</t>
  </si>
  <si>
    <t>Review all user interfaces of sprint 1</t>
  </si>
  <si>
    <t>Design test case</t>
  </si>
  <si>
    <t>Review all test case of sprint 1</t>
  </si>
  <si>
    <t>Coding</t>
  </si>
  <si>
    <t xml:space="preserve">Integrate code </t>
  </si>
  <si>
    <t>Testing</t>
  </si>
  <si>
    <t>Fix Bug</t>
  </si>
  <si>
    <t>Re-testing</t>
  </si>
  <si>
    <t>Release Sprint 1</t>
  </si>
  <si>
    <t>Sprint 1 review meeting</t>
  </si>
  <si>
    <t>Sprint 1 retrospective</t>
  </si>
  <si>
    <t>Xây dựng hệ thống DishNet - Nền tảng mạng xã hội kinh doanh ẩm thực</t>
  </si>
  <si>
    <t>Lê Văn Cường</t>
  </si>
  <si>
    <t>Phạm Đình Vân Ly</t>
  </si>
  <si>
    <t>Phan Thị Lệ Thi</t>
  </si>
  <si>
    <t>Trần Thị Mai Yên</t>
  </si>
  <si>
    <t>Huỳnh Thị Vy</t>
  </si>
  <si>
    <t>Tìm kiếm</t>
  </si>
  <si>
    <t>Tương tác người dùng</t>
  </si>
  <si>
    <t>Thiết kế trường kiểm thử cho tìm kiếm</t>
  </si>
  <si>
    <t>Thiết kế trường kiểm thử cho tương tác bài viết</t>
  </si>
  <si>
    <t>Tương tác bài viết</t>
  </si>
  <si>
    <t>Thiết kế front-end tìm kiếm</t>
  </si>
  <si>
    <t>Code back-end tìm kiếm</t>
  </si>
  <si>
    <t>Thiết kế front-end tương tác người dùng</t>
  </si>
  <si>
    <t>Code back-end tương tác người dùng</t>
  </si>
  <si>
    <t>SPRINT 2 REPORT</t>
  </si>
  <si>
    <t>Sprint 2</t>
  </si>
  <si>
    <t>Sprint 3</t>
  </si>
  <si>
    <t>SPRINT 3 REPORT</t>
  </si>
  <si>
    <t>Tạo Sprint Backlog 3</t>
  </si>
  <si>
    <t>Review all user interfaces of sprint 3</t>
  </si>
  <si>
    <t>Review all test case of sprint 3</t>
  </si>
  <si>
    <t>Release Sprint 3</t>
  </si>
  <si>
    <t>Tạo Sprint Backlog 2</t>
  </si>
  <si>
    <t>Review all test case of sprint 2</t>
  </si>
  <si>
    <t>Review all user interfaces of sprint 2</t>
  </si>
  <si>
    <t>Sprint 2 review meeting</t>
  </si>
  <si>
    <t>Sprint 2 retrospective</t>
  </si>
  <si>
    <t>Release Sprint 2</t>
  </si>
  <si>
    <t>Sprint 3 review meeting</t>
  </si>
  <si>
    <t>Sprint 3 retrospective</t>
  </si>
  <si>
    <t>Kiểm tra tìm kiếm</t>
  </si>
  <si>
    <t>Kiểm tra tương tác người dùng</t>
  </si>
  <si>
    <t>Sửa lỗi tương tác bài viết</t>
  </si>
  <si>
    <t>Sửa lỗi tương tác người dùng</t>
  </si>
  <si>
    <t>Kiểm tra lại tìm kiếm</t>
  </si>
  <si>
    <t>Kiểm tra lại tương tác bài viết</t>
  </si>
  <si>
    <t>Thiết kế front-end kiếm tiền từ nội dung</t>
  </si>
  <si>
    <t>Code back-end kiếm tiền từ nội dung</t>
  </si>
  <si>
    <t>Thiết kế front-end đăng ký mở cửa hàng</t>
  </si>
  <si>
    <t>Code back-end đăng ký mở cửa hàng</t>
  </si>
  <si>
    <t>Thiết kế front-end gửi yêu cầu hỗ trợ</t>
  </si>
  <si>
    <t>Code back-end gửi yêu cầu hỗ trợ</t>
  </si>
  <si>
    <t>Thiết kế front-end giỏ hàng</t>
  </si>
  <si>
    <t>Code back-end giỏ hàng</t>
  </si>
  <si>
    <t>Thiết kế front-end thanh toán</t>
  </si>
  <si>
    <t>Code back-end thanh toán</t>
  </si>
  <si>
    <t>Kiểm tra thanh toán</t>
  </si>
  <si>
    <t>Kiểm tra giỏ hàng</t>
  </si>
  <si>
    <t>Kiểm tra đăng ký mở cửa hàng</t>
  </si>
  <si>
    <t>Kiểm tra kiếm tiền từ nội dung</t>
  </si>
  <si>
    <t>Sửa lỗi thanh toán</t>
  </si>
  <si>
    <t>Sửa lỗi giỏ hàng</t>
  </si>
  <si>
    <t>Sửa lỗi đăng ký mở cửa hàng</t>
  </si>
  <si>
    <t>Sửa lỗi kiếm tiền từ nội dung</t>
  </si>
  <si>
    <t>Sửa lỗi trò chuyện</t>
  </si>
  <si>
    <t>Kiểm tra lại trò chuyện</t>
  </si>
  <si>
    <t>Kiểm tra lại kiếm tiền từ nội dung</t>
  </si>
  <si>
    <t>Kiểm tra lại đăng ký mở cửa hàng</t>
  </si>
  <si>
    <t>Tổng quan cửa hàng</t>
  </si>
  <si>
    <t>Quản lý doanh thu cửa hàng</t>
  </si>
  <si>
    <t>Quản lý menu cửa hàng</t>
  </si>
  <si>
    <t>Quản lý đơn hàng của cửa hàng</t>
  </si>
  <si>
    <t>Quản lý khuyến mãi cửa hàng</t>
  </si>
  <si>
    <t>Quản lý khuyến mãi hệ thống</t>
  </si>
  <si>
    <t>Quản lý yêu cầu hỗ trợ</t>
  </si>
  <si>
    <t>Quản lý báo cáo/ khiếu nại</t>
  </si>
  <si>
    <t>Kiếm tiền từ nội dung</t>
  </si>
  <si>
    <t>Gửi yêu cầu hỗ trợ</t>
  </si>
  <si>
    <t>Giỏ hàng</t>
  </si>
  <si>
    <t>Thanh toán</t>
  </si>
  <si>
    <t>Thiết kế front-end tổng quan cửa hàng</t>
  </si>
  <si>
    <t>Thiết kế front-end quản lý doanh thu cửa hàng</t>
  </si>
  <si>
    <t>Code back-end quản lý doanh thu cửa hàng</t>
  </si>
  <si>
    <t>Thiết kế front-end quản lý menu cửa hàng</t>
  </si>
  <si>
    <t>Code back-end quản lý menu cửa hàng</t>
  </si>
  <si>
    <t>Thiết kế front-end quản lý đơn hàng của cửa hàng</t>
  </si>
  <si>
    <t>Code back-end quản lý đơn hàng của cửa hàng</t>
  </si>
  <si>
    <t>Thiết kế front-end quản lý khuyến mãi cửa hàng</t>
  </si>
  <si>
    <t>Code back-end quản lý khuyến mãi cửa hàng</t>
  </si>
  <si>
    <t>Thiết kế front-end quản lý khuyến mãi hệ thống</t>
  </si>
  <si>
    <t>Code back-end quản lý khuyến mãi hệ thống</t>
  </si>
  <si>
    <t>Thiết kế front-end quản lý yêu cầu hỗ trợ</t>
  </si>
  <si>
    <t>Code back-end quản lý yêu cầu hỗ trợ</t>
  </si>
  <si>
    <t>Thiết kế front-end quản lý báo cáo/ khiếu nại</t>
  </si>
  <si>
    <t>Code back-end quản lý báo cáo/ khiếu nại</t>
  </si>
  <si>
    <t>Kiểm tra quản lý báo cáo/ khiếu nại</t>
  </si>
  <si>
    <t>Sửa lỗi quản lý báo cáo/ khiếu nại</t>
  </si>
  <si>
    <t>Kiểm tra lại quản lý báo cáo/ khiếu nại</t>
  </si>
  <si>
    <t>Kiểm tra lại quản lý yêu cầu hỗ trợ</t>
  </si>
  <si>
    <t>Sửa lỗi quản lý yêu cầu hỗ trợ</t>
  </si>
  <si>
    <t>Kiểm tra quản lý yêu cầu hỗ trợ</t>
  </si>
  <si>
    <t>Sửa lỗi quản lý khuyến mãi hệ thống</t>
  </si>
  <si>
    <t>Kiểm tra quản lý khuyến mãi hệ thống</t>
  </si>
  <si>
    <t>Kiểm tra tổng quan cửa hàng</t>
  </si>
  <si>
    <t>Sửa lỗi tổng quan cửa hàng</t>
  </si>
  <si>
    <t>Kiểm tra lại tổng quan cửa hàng</t>
  </si>
  <si>
    <t>Kiểm tra quản lý doanh thu cửa hàng</t>
  </si>
  <si>
    <t>Sửa lỗi quản lý doanh thu cửa hàng</t>
  </si>
  <si>
    <t>Kiểm tra lại quản lý doanh thu cửa hàng</t>
  </si>
  <si>
    <t>Kiểm tra quản lý menu cửa hàng</t>
  </si>
  <si>
    <t>Sửa lỗi quản lý menu cửa hàng</t>
  </si>
  <si>
    <t>Kiểm tra lại quản lý menu cửa hàng</t>
  </si>
  <si>
    <t>Kiểm tra quản lý đơn hàng của cửa hàng</t>
  </si>
  <si>
    <t>Sửa lỗi quản lý đơn hàng của cửa hàng</t>
  </si>
  <si>
    <t>Kiểm tra lại quản lý đơn hàng của cửa hàng</t>
  </si>
  <si>
    <t>Sửa lỗi quản lý khuyến mãi cửa hàng</t>
  </si>
  <si>
    <t>Kiểm tra quản lý khuyến mãi cửa hàng</t>
  </si>
  <si>
    <t>Kiểm tra lại quản lý khuyến mãi cửa hàng</t>
  </si>
  <si>
    <t>Yên, Ly</t>
  </si>
  <si>
    <t>Vy, Thi, Cường</t>
  </si>
  <si>
    <t>Cường</t>
  </si>
  <si>
    <t>Ly</t>
  </si>
  <si>
    <t>Thi</t>
  </si>
  <si>
    <t>Vy</t>
  </si>
  <si>
    <t>Yên</t>
  </si>
  <si>
    <t>SPRINT BACKLOG REPORT</t>
  </si>
  <si>
    <t>FINAL TOTAL</t>
  </si>
  <si>
    <t>Fix bug</t>
  </si>
  <si>
    <t>Bảng xếp hạng</t>
  </si>
  <si>
    <t>Trò chuyện</t>
  </si>
  <si>
    <t>Thiết kế trường kiểm thử cho hồ sơ cá nhân</t>
  </si>
  <si>
    <t>Thiết kế front-end hồ sơ cá nhân</t>
  </si>
  <si>
    <t>Thiết kế front-end bảng xếp hạng</t>
  </si>
  <si>
    <t>Thiết kế front-end trò chuyện</t>
  </si>
  <si>
    <t>Code back-end hồ sơ cá nhân</t>
  </si>
  <si>
    <t>Code back-end trò chuyện</t>
  </si>
  <si>
    <t>Kiểm tra lại bảng xếp hạng</t>
  </si>
  <si>
    <t>Đơn hàng của tôi</t>
  </si>
  <si>
    <t>Đánh giá đơn hàng</t>
  </si>
  <si>
    <t>Thiết kế trường kiểm thử cho quản lý doanh thu cửa hàng</t>
  </si>
  <si>
    <t>Thiết kế trường kiểm thử cho quản lý menu cửa hàng</t>
  </si>
  <si>
    <t>Thiết kế front-end đánh giá đơn hàng</t>
  </si>
  <si>
    <t>Code back-end đơn hàng của tôi</t>
  </si>
  <si>
    <t>Code back-end đánh giá đơn hàng</t>
  </si>
  <si>
    <t>Code back-end tổng quan cửa hàng</t>
  </si>
  <si>
    <t>Kiểm tra đơn hàng của tôi</t>
  </si>
  <si>
    <t>Sửa lỗi đơn hàng của tôi</t>
  </si>
  <si>
    <t>Kiểm tra lại giỏ hàng</t>
  </si>
  <si>
    <t>Kiểm tra lại thanh toán</t>
  </si>
  <si>
    <t>Kiểm tra lại đơn hàng của tôi</t>
  </si>
  <si>
    <t>Thiết kế front-end đơn hàng của tôi</t>
  </si>
  <si>
    <t>Fix bugs</t>
  </si>
  <si>
    <t>Thiết kế trường kiểm thử cho quản lý khuyến mãi hệ thống</t>
  </si>
  <si>
    <t>Vy, Thi</t>
  </si>
  <si>
    <t>Kiểm tra lại đăng nhập, đăng ký</t>
  </si>
  <si>
    <t>Hồ sơ cá nhân</t>
  </si>
  <si>
    <t>Thiết kế trường kiểm thử cho quản lý yêu cầu hỗ trợ</t>
  </si>
  <si>
    <t>Thiết kế trường kiểm thử cho quản lý báo cáo/ khiếu nại</t>
  </si>
  <si>
    <t xml:space="preserve">Thiết kế trường kiểm thử cho tổng quan cửa hàng </t>
  </si>
  <si>
    <t>Thiết kế trường kiểm thử cho quản lý đơn hàng của cửa hàng</t>
  </si>
  <si>
    <t>Thiết kế trường kiểm thử cho quản lý khuyến mãi cửa hàng</t>
  </si>
  <si>
    <t>Thiết kế front-end tương tác bài viết</t>
  </si>
  <si>
    <t>Code back-end tương tác bài viết</t>
  </si>
  <si>
    <t>Sửa lỗi tìm kiếm</t>
  </si>
  <si>
    <t>Kiểm tra quản lý hồ sơ cá nhân, tương tác bài viết</t>
  </si>
  <si>
    <t>Sửa lỗi quản lý hồ sơ cá nhân</t>
  </si>
  <si>
    <t>Kiểm tra lại quản lý hồ sơ cá nhân</t>
  </si>
  <si>
    <t>Đăng ký mở cửa hàng</t>
  </si>
  <si>
    <t>Thiết kế trường hợp kiểm thử cho bảng xếp hạng</t>
  </si>
  <si>
    <t>Thiết kế trường hợp kiểm thử cho tương tác người dùng</t>
  </si>
  <si>
    <t>Thiết kế trường hợp kiểm thử cho trò chuyện</t>
  </si>
  <si>
    <t>Thiết kế trường hợp kiểm thử cho gửi yêu cầu hỗ trợ</t>
  </si>
  <si>
    <t>Thiết kế trường hợp kiểm thử cho kiếm tiền từ nội dung</t>
  </si>
  <si>
    <t>Thiết kế trường hợp kiểm thử cho đăng ký mở cửa hàng</t>
  </si>
  <si>
    <t>Thiết kế trường hợp kiểm thử cho giỏ hàng</t>
  </si>
  <si>
    <t>Thiết kế trường hợp kiểm thử cho thanh toán</t>
  </si>
  <si>
    <t>Thiết kế trường hợp kiểm thử cho đơn hàng của tôi</t>
  </si>
  <si>
    <t>Thiết kế trường hợp kiểm thử cho đánh giá đơn hàng</t>
  </si>
  <si>
    <t>Code back-end bảng xếp hạng</t>
  </si>
  <si>
    <t>Sửa lỗi bảng xếp hạng</t>
  </si>
  <si>
    <t>Kiểm tra bảng xếp hạng, trò chuyện</t>
  </si>
  <si>
    <t>Kiểm tra gửi yêu cầu hỗ trợ</t>
  </si>
  <si>
    <t>Sửa lỗi gửi yêu cầu hỗ trợ</t>
  </si>
  <si>
    <t>Kiểm tra lại gửi yêu cầu hỗ trợ</t>
  </si>
  <si>
    <t>Kiểm tra lại đánh giá đơn hàng</t>
  </si>
  <si>
    <t>Sửa lỗi đánh giá đơn hàng</t>
  </si>
  <si>
    <t>Kiểm tra đánh giá đơn hàng</t>
  </si>
  <si>
    <t>Đăng nhập, Đăng ký</t>
  </si>
  <si>
    <t>Quên mật khẩu, Thống kê hệ thống</t>
  </si>
  <si>
    <t>Quản lý đơn hàng hệ thống, Kiểm duyệt yêu cầu hệ thống</t>
  </si>
  <si>
    <t>Quản lý tài khoản, Quản lý doanh thu hệ thống</t>
  </si>
  <si>
    <t>Thiết kế trường kiểm thử cho đăng nhập, đăng ký</t>
  </si>
  <si>
    <t>Thiết kế trường kiểm thử cho quên mật khẩu, thống kê hệ thống</t>
  </si>
  <si>
    <t>Thiết kế trường kiểm thử cho quản lý đơn hàng hệ thống, kiểm duyệt yêu cầu hệ thống</t>
  </si>
  <si>
    <t>Thiết kế trường kiểm thử cho quản lý tài khoản, quản lý doanh thu hệ thống</t>
  </si>
  <si>
    <t>Thiết kế front-end đăng nhập, đăng ký</t>
  </si>
  <si>
    <t>Thiết kế front-end quên mật khẩu, thống kê hệ thống</t>
  </si>
  <si>
    <t>Thiết kế front-end quản lý đơn hàng hệ thống, kiểm duyệt yêu cầu hệ thống</t>
  </si>
  <si>
    <t>Thiết kế front-end quản lý tài khoản, doanh thu hệ thống</t>
  </si>
  <si>
    <t>Code back-end đăng nhập, đăng ký</t>
  </si>
  <si>
    <t>Code back-end quên mật khẩu, thống kê hệ thống</t>
  </si>
  <si>
    <t>Code back-end quản lý đơn hàng hệ thống, kiểm duyệt yêu cầu hệ thống</t>
  </si>
  <si>
    <t>Code back-end quản lý tài khoản, xem quản lý doanh thu hệ thống</t>
  </si>
  <si>
    <t>Kiểm tra đăng nhập, đăng ký</t>
  </si>
  <si>
    <t>Kiểm tra quên mật khẩu, thống kê hệ thống</t>
  </si>
  <si>
    <t>Kiểm tra quản lý đơn hàng hệ thống, kiểm duyệt yêu cầu hệ thống</t>
  </si>
  <si>
    <t>Kiểm tra quản lý tài khoản, quản lý doanh thu hệ thống</t>
  </si>
  <si>
    <t>Sửa lỗi đăng nhập, đăng ký</t>
  </si>
  <si>
    <t>Sửa lỗi quên mật khẩu, thống kê hệ thống</t>
  </si>
  <si>
    <t>Sửa lỗi quản lý đơn hàng hệ thống, kiểm duyệt yêu cầu hệ thống</t>
  </si>
  <si>
    <t>Sửa lỗi quản lý tài khoản, xem quản lý doanh thu hệ thống</t>
  </si>
  <si>
    <t>Kiểm tra lại quên mật khẩu, thống kê hệ thống</t>
  </si>
  <si>
    <t>Kiểm tra lại quản lý đơn hàng hệ thống, kiểm duyệt yêu cầu hệ thống</t>
  </si>
  <si>
    <t>Kiểm tra lại quản lý tài khoản, xem quản lý doanh thu hệ thống</t>
  </si>
  <si>
    <t>Kiểm tra lại quản lý khuyến mãi hệ thống</t>
  </si>
  <si>
    <t>Tạo tài liệu kiểm thử cho Sprint 1</t>
  </si>
  <si>
    <t>Kiểm tra lại tương tác người dùng</t>
  </si>
  <si>
    <t>.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</si>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</sst>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6" x14ac:knownFonts="1">
    <font>
      <sz val="11"/>
      <color theme="1"/>
      <name val="Arial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sz val="11"/>
      <color theme="1"/>
      <name val="Arial"/>
      <family val="2"/>
      <scheme val="minor"/>
    </font>
    <font>
      <i/>
      <sz val="13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0F03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8" borderId="0" applyNumberFormat="0" applyBorder="0" applyAlignment="0" applyProtection="0"/>
  </cellStyleXfs>
  <cellXfs count="84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164" fontId="1" fillId="0" borderId="1" xfId="0" applyNumberFormat="1" applyFont="1" applyBorder="1" applyAlignment="1">
      <alignment vertical="center" textRotation="90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left" vertical="center"/>
    </xf>
    <xf numFmtId="0" fontId="1" fillId="7" borderId="19" xfId="0" applyFont="1" applyFill="1" applyBorder="1" applyAlignment="1">
      <alignment horizontal="left" vertical="center"/>
    </xf>
    <xf numFmtId="0" fontId="1" fillId="7" borderId="20" xfId="0" applyFont="1" applyFill="1" applyBorder="1" applyAlignment="1">
      <alignment horizontal="center" vertical="center"/>
    </xf>
    <xf numFmtId="0" fontId="2" fillId="7" borderId="17" xfId="0" applyFont="1" applyFill="1" applyBorder="1"/>
    <xf numFmtId="0" fontId="2" fillId="0" borderId="18" xfId="0" applyFont="1" applyBorder="1"/>
    <xf numFmtId="0" fontId="2" fillId="7" borderId="19" xfId="0" applyFont="1" applyFill="1" applyBorder="1"/>
    <xf numFmtId="0" fontId="2" fillId="0" borderId="23" xfId="0" applyFont="1" applyBorder="1"/>
    <xf numFmtId="0" fontId="1" fillId="8" borderId="1" xfId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textRotation="90" wrapText="1"/>
    </xf>
    <xf numFmtId="0" fontId="2" fillId="0" borderId="1" xfId="0" applyFont="1" applyBorder="1" applyAlignment="1">
      <alignment horizontal="right" vertical="center"/>
    </xf>
    <xf numFmtId="0" fontId="2" fillId="9" borderId="1" xfId="0" applyFont="1" applyFill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14" fontId="3" fillId="0" borderId="2" xfId="0" applyNumberFormat="1" applyFont="1" applyBorder="1" applyAlignment="1">
      <alignment horizontal="left" vertical="center"/>
    </xf>
    <xf numFmtId="14" fontId="3" fillId="0" borderId="4" xfId="0" applyNumberFormat="1" applyFont="1" applyBorder="1" applyAlignment="1">
      <alignment horizontal="left" vertical="center"/>
    </xf>
    <xf numFmtId="14" fontId="3" fillId="0" borderId="3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1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6" borderId="21" xfId="0" applyFont="1" applyFill="1" applyBorder="1" applyAlignment="1">
      <alignment horizontal="center"/>
    </xf>
    <xf numFmtId="0" fontId="2" fillId="6" borderId="22" xfId="0" applyFont="1" applyFill="1" applyBorder="1" applyAlignment="1">
      <alignment horizontal="center"/>
    </xf>
    <xf numFmtId="0" fontId="1" fillId="6" borderId="14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</cellXfs>
  <cellStyles count="2">
    <cellStyle name="40% - Accent3" xfId="1" builtinId="3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sz="1600" b="1" i="0" u="none" strike="noStrike" baseline="0"/>
              <a:t>Burndown Chart - Sprint 1</a:t>
            </a:r>
            <a:endParaRPr lang="vi-VN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8.4287481660608621E-2"/>
          <c:y val="0.143293613432945"/>
          <c:w val="0.85221558735772229"/>
          <c:h val="0.70989291525869136"/>
        </c:manualLayout>
      </c:layout>
      <c:lineChart>
        <c:grouping val="standard"/>
        <c:varyColors val="0"/>
        <c:ser>
          <c:idx val="0"/>
          <c:order val="0"/>
          <c:tx>
            <c:v>Thực tế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Sprint1!$I$15:$U$15</c:f>
              <c:numCache>
                <c:formatCode>dd/mm</c:formatCode>
                <c:ptCount val="13"/>
                <c:pt idx="0">
                  <c:v>46099</c:v>
                </c:pt>
                <c:pt idx="1">
                  <c:v>46100</c:v>
                </c:pt>
                <c:pt idx="2">
                  <c:v>46101</c:v>
                </c:pt>
                <c:pt idx="3">
                  <c:v>46102</c:v>
                </c:pt>
                <c:pt idx="4">
                  <c:v>46103</c:v>
                </c:pt>
                <c:pt idx="5">
                  <c:v>46104</c:v>
                </c:pt>
                <c:pt idx="6">
                  <c:v>46105</c:v>
                </c:pt>
                <c:pt idx="7">
                  <c:v>46106</c:v>
                </c:pt>
                <c:pt idx="8">
                  <c:v>46107</c:v>
                </c:pt>
                <c:pt idx="9">
                  <c:v>46108</c:v>
                </c:pt>
                <c:pt idx="10">
                  <c:v>46109</c:v>
                </c:pt>
                <c:pt idx="11">
                  <c:v>46110</c:v>
                </c:pt>
                <c:pt idx="12">
                  <c:v>46111</c:v>
                </c:pt>
              </c:numCache>
            </c:numRef>
          </c:cat>
          <c:val>
            <c:numRef>
              <c:f>Sprint1!$I$64:$U$64</c:f>
              <c:numCache>
                <c:formatCode>General</c:formatCode>
                <c:ptCount val="13"/>
                <c:pt idx="0">
                  <c:v>124</c:v>
                </c:pt>
                <c:pt idx="1">
                  <c:v>114</c:v>
                </c:pt>
                <c:pt idx="2">
                  <c:v>106</c:v>
                </c:pt>
                <c:pt idx="3">
                  <c:v>94</c:v>
                </c:pt>
                <c:pt idx="4">
                  <c:v>86</c:v>
                </c:pt>
                <c:pt idx="5">
                  <c:v>72</c:v>
                </c:pt>
                <c:pt idx="6">
                  <c:v>64</c:v>
                </c:pt>
                <c:pt idx="7">
                  <c:v>56</c:v>
                </c:pt>
                <c:pt idx="8">
                  <c:v>42</c:v>
                </c:pt>
                <c:pt idx="9">
                  <c:v>30</c:v>
                </c:pt>
                <c:pt idx="10">
                  <c:v>20</c:v>
                </c:pt>
                <c:pt idx="11">
                  <c:v>10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4F-463D-B644-09CB9BD584F9}"/>
            </c:ext>
          </c:extLst>
        </c:ser>
        <c:ser>
          <c:idx val="1"/>
          <c:order val="1"/>
          <c:tx>
            <c:v>Ước tính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Sprint1!$I$15:$U$15</c:f>
              <c:numCache>
                <c:formatCode>dd/mm</c:formatCode>
                <c:ptCount val="13"/>
                <c:pt idx="0">
                  <c:v>46099</c:v>
                </c:pt>
                <c:pt idx="1">
                  <c:v>46100</c:v>
                </c:pt>
                <c:pt idx="2">
                  <c:v>46101</c:v>
                </c:pt>
                <c:pt idx="3">
                  <c:v>46102</c:v>
                </c:pt>
                <c:pt idx="4">
                  <c:v>46103</c:v>
                </c:pt>
                <c:pt idx="5">
                  <c:v>46104</c:v>
                </c:pt>
                <c:pt idx="6">
                  <c:v>46105</c:v>
                </c:pt>
                <c:pt idx="7">
                  <c:v>46106</c:v>
                </c:pt>
                <c:pt idx="8">
                  <c:v>46107</c:v>
                </c:pt>
                <c:pt idx="9">
                  <c:v>46108</c:v>
                </c:pt>
                <c:pt idx="10">
                  <c:v>46109</c:v>
                </c:pt>
                <c:pt idx="11">
                  <c:v>46110</c:v>
                </c:pt>
                <c:pt idx="12">
                  <c:v>46111</c:v>
                </c:pt>
              </c:numCache>
            </c:numRef>
          </c:cat>
          <c:val>
            <c:numRef>
              <c:f>Sprint1!$I$65:$U$65</c:f>
              <c:numCache>
                <c:formatCode>General</c:formatCode>
                <c:ptCount val="13"/>
                <c:pt idx="0">
                  <c:v>124</c:v>
                </c:pt>
                <c:pt idx="1">
                  <c:v>114</c:v>
                </c:pt>
                <c:pt idx="2">
                  <c:v>105</c:v>
                </c:pt>
                <c:pt idx="3">
                  <c:v>94</c:v>
                </c:pt>
                <c:pt idx="4">
                  <c:v>85</c:v>
                </c:pt>
                <c:pt idx="5">
                  <c:v>73</c:v>
                </c:pt>
                <c:pt idx="6">
                  <c:v>64</c:v>
                </c:pt>
                <c:pt idx="7">
                  <c:v>55</c:v>
                </c:pt>
                <c:pt idx="8">
                  <c:v>41</c:v>
                </c:pt>
                <c:pt idx="9">
                  <c:v>30</c:v>
                </c:pt>
                <c:pt idx="10">
                  <c:v>20</c:v>
                </c:pt>
                <c:pt idx="11">
                  <c:v>10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4F-463D-B644-09CB9BD584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4371135"/>
        <c:axId val="1094366559"/>
      </c:lineChart>
      <c:dateAx>
        <c:axId val="1094371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(Ngày)</a:t>
                </a:r>
              </a:p>
            </c:rich>
          </c:tx>
          <c:layout>
            <c:manualLayout>
              <c:xMode val="edge"/>
              <c:yMode val="edge"/>
              <c:x val="0.9282006591302211"/>
              <c:y val="0.848341677307198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dd/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094366559"/>
        <c:crosses val="autoZero"/>
        <c:auto val="1"/>
        <c:lblOffset val="100"/>
        <c:baseTimeUnit val="days"/>
      </c:dateAx>
      <c:valAx>
        <c:axId val="1094366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(Giờ)</a:t>
                </a:r>
              </a:p>
            </c:rich>
          </c:tx>
          <c:layout>
            <c:manualLayout>
              <c:xMode val="edge"/>
              <c:yMode val="edge"/>
              <c:x val="5.0959870272936816E-2"/>
              <c:y val="3.040915016729495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094371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sz="2000" b="1" i="0" u="none" strike="noStrike" baseline="0">
                <a:latin typeface="+mn-lt"/>
              </a:rPr>
              <a:t>Burndown Chart - Sprint</a:t>
            </a:r>
            <a:r>
              <a:rPr lang="en-US" sz="2000" b="1" i="0" u="none" strike="noStrike" baseline="0">
                <a:latin typeface="+mn-lt"/>
              </a:rPr>
              <a:t> 2</a:t>
            </a:r>
            <a:endParaRPr lang="vi-VN" sz="2000" b="1">
              <a:latin typeface="+mn-lt"/>
            </a:endParaRPr>
          </a:p>
        </c:rich>
      </c:tx>
      <c:layout>
        <c:manualLayout>
          <c:xMode val="edge"/>
          <c:yMode val="edge"/>
          <c:x val="0.31787177053721194"/>
          <c:y val="2.33292015677713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7.3740027967539312E-2"/>
          <c:y val="0.12876179086533454"/>
          <c:w val="0.8642471105264945"/>
          <c:h val="0.76289931076585515"/>
        </c:manualLayout>
      </c:layout>
      <c:lineChart>
        <c:grouping val="standard"/>
        <c:varyColors val="0"/>
        <c:ser>
          <c:idx val="0"/>
          <c:order val="0"/>
          <c:tx>
            <c:v>Thực tế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Sprint2!$I$15:$AA$15</c:f>
              <c:numCache>
                <c:formatCode>dd/mm</c:formatCode>
                <c:ptCount val="19"/>
                <c:pt idx="0">
                  <c:v>46112</c:v>
                </c:pt>
                <c:pt idx="1">
                  <c:v>46113</c:v>
                </c:pt>
                <c:pt idx="2">
                  <c:v>46114</c:v>
                </c:pt>
                <c:pt idx="3">
                  <c:v>46115</c:v>
                </c:pt>
                <c:pt idx="4">
                  <c:v>46116</c:v>
                </c:pt>
                <c:pt idx="5">
                  <c:v>46117</c:v>
                </c:pt>
                <c:pt idx="6">
                  <c:v>46118</c:v>
                </c:pt>
                <c:pt idx="7">
                  <c:v>46119</c:v>
                </c:pt>
                <c:pt idx="8">
                  <c:v>46120</c:v>
                </c:pt>
                <c:pt idx="9">
                  <c:v>46121</c:v>
                </c:pt>
                <c:pt idx="10">
                  <c:v>46122</c:v>
                </c:pt>
                <c:pt idx="11">
                  <c:v>46123</c:v>
                </c:pt>
                <c:pt idx="12">
                  <c:v>46124</c:v>
                </c:pt>
                <c:pt idx="13">
                  <c:v>46125</c:v>
                </c:pt>
                <c:pt idx="14">
                  <c:v>46126</c:v>
                </c:pt>
                <c:pt idx="15">
                  <c:v>46127</c:v>
                </c:pt>
                <c:pt idx="16">
                  <c:v>46128</c:v>
                </c:pt>
                <c:pt idx="17">
                  <c:v>46129</c:v>
                </c:pt>
                <c:pt idx="18">
                  <c:v>46130</c:v>
                </c:pt>
              </c:numCache>
            </c:numRef>
          </c:cat>
          <c:val>
            <c:numRef>
              <c:f>Sprint2!$I$99:$AA$99</c:f>
              <c:numCache>
                <c:formatCode>General</c:formatCode>
                <c:ptCount val="19"/>
                <c:pt idx="0">
                  <c:v>190</c:v>
                </c:pt>
                <c:pt idx="1">
                  <c:v>180</c:v>
                </c:pt>
                <c:pt idx="2">
                  <c:v>170</c:v>
                </c:pt>
                <c:pt idx="3">
                  <c:v>160</c:v>
                </c:pt>
                <c:pt idx="4">
                  <c:v>150</c:v>
                </c:pt>
                <c:pt idx="5">
                  <c:v>140</c:v>
                </c:pt>
                <c:pt idx="6">
                  <c:v>132</c:v>
                </c:pt>
                <c:pt idx="7">
                  <c:v>118</c:v>
                </c:pt>
                <c:pt idx="8">
                  <c:v>110</c:v>
                </c:pt>
                <c:pt idx="9">
                  <c:v>104</c:v>
                </c:pt>
                <c:pt idx="10">
                  <c:v>92</c:v>
                </c:pt>
                <c:pt idx="11">
                  <c:v>80</c:v>
                </c:pt>
                <c:pt idx="12">
                  <c:v>70</c:v>
                </c:pt>
                <c:pt idx="13">
                  <c:v>60</c:v>
                </c:pt>
                <c:pt idx="14">
                  <c:v>50</c:v>
                </c:pt>
                <c:pt idx="15">
                  <c:v>40</c:v>
                </c:pt>
                <c:pt idx="16">
                  <c:v>30</c:v>
                </c:pt>
                <c:pt idx="17">
                  <c:v>20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DBB-47D8-8C96-DD725A0EAB70}"/>
            </c:ext>
          </c:extLst>
        </c:ser>
        <c:ser>
          <c:idx val="1"/>
          <c:order val="1"/>
          <c:tx>
            <c:v>Ước tính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Sprint2!$I$15:$AA$15</c:f>
              <c:numCache>
                <c:formatCode>dd/mm</c:formatCode>
                <c:ptCount val="19"/>
                <c:pt idx="0">
                  <c:v>46112</c:v>
                </c:pt>
                <c:pt idx="1">
                  <c:v>46113</c:v>
                </c:pt>
                <c:pt idx="2">
                  <c:v>46114</c:v>
                </c:pt>
                <c:pt idx="3">
                  <c:v>46115</c:v>
                </c:pt>
                <c:pt idx="4">
                  <c:v>46116</c:v>
                </c:pt>
                <c:pt idx="5">
                  <c:v>46117</c:v>
                </c:pt>
                <c:pt idx="6">
                  <c:v>46118</c:v>
                </c:pt>
                <c:pt idx="7">
                  <c:v>46119</c:v>
                </c:pt>
                <c:pt idx="8">
                  <c:v>46120</c:v>
                </c:pt>
                <c:pt idx="9">
                  <c:v>46121</c:v>
                </c:pt>
                <c:pt idx="10">
                  <c:v>46122</c:v>
                </c:pt>
                <c:pt idx="11">
                  <c:v>46123</c:v>
                </c:pt>
                <c:pt idx="12">
                  <c:v>46124</c:v>
                </c:pt>
                <c:pt idx="13">
                  <c:v>46125</c:v>
                </c:pt>
                <c:pt idx="14">
                  <c:v>46126</c:v>
                </c:pt>
                <c:pt idx="15">
                  <c:v>46127</c:v>
                </c:pt>
                <c:pt idx="16">
                  <c:v>46128</c:v>
                </c:pt>
                <c:pt idx="17">
                  <c:v>46129</c:v>
                </c:pt>
                <c:pt idx="18">
                  <c:v>46130</c:v>
                </c:pt>
              </c:numCache>
            </c:numRef>
          </c:cat>
          <c:val>
            <c:numRef>
              <c:f>Sprint2!$I$100:$AA$100</c:f>
              <c:numCache>
                <c:formatCode>General</c:formatCode>
                <c:ptCount val="19"/>
                <c:pt idx="0">
                  <c:v>190</c:v>
                </c:pt>
                <c:pt idx="1">
                  <c:v>180</c:v>
                </c:pt>
                <c:pt idx="2">
                  <c:v>170</c:v>
                </c:pt>
                <c:pt idx="3">
                  <c:v>160</c:v>
                </c:pt>
                <c:pt idx="4">
                  <c:v>150</c:v>
                </c:pt>
                <c:pt idx="5">
                  <c:v>140</c:v>
                </c:pt>
                <c:pt idx="6">
                  <c:v>131</c:v>
                </c:pt>
                <c:pt idx="7">
                  <c:v>119</c:v>
                </c:pt>
                <c:pt idx="8">
                  <c:v>110</c:v>
                </c:pt>
                <c:pt idx="9">
                  <c:v>102</c:v>
                </c:pt>
                <c:pt idx="10">
                  <c:v>91</c:v>
                </c:pt>
                <c:pt idx="11">
                  <c:v>80</c:v>
                </c:pt>
                <c:pt idx="12">
                  <c:v>70</c:v>
                </c:pt>
                <c:pt idx="13">
                  <c:v>60</c:v>
                </c:pt>
                <c:pt idx="14">
                  <c:v>50</c:v>
                </c:pt>
                <c:pt idx="15">
                  <c:v>40</c:v>
                </c:pt>
                <c:pt idx="16">
                  <c:v>30</c:v>
                </c:pt>
                <c:pt idx="17">
                  <c:v>20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DBB-47D8-8C96-DD725A0EA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4371135"/>
        <c:axId val="1094366559"/>
      </c:lineChart>
      <c:dateAx>
        <c:axId val="1094371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(Ngày)</a:t>
                </a:r>
              </a:p>
            </c:rich>
          </c:tx>
          <c:layout>
            <c:manualLayout>
              <c:xMode val="edge"/>
              <c:yMode val="edge"/>
              <c:x val="0.9336539993853229"/>
              <c:y val="0.889850640910017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dd/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094366559"/>
        <c:crosses val="autoZero"/>
        <c:auto val="1"/>
        <c:lblOffset val="100"/>
        <c:baseTimeUnit val="days"/>
      </c:dateAx>
      <c:valAx>
        <c:axId val="1094366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(Giờ)</a:t>
                </a:r>
              </a:p>
            </c:rich>
          </c:tx>
          <c:layout>
            <c:manualLayout>
              <c:xMode val="edge"/>
              <c:yMode val="edge"/>
              <c:x val="4.6888912321211881E-2"/>
              <c:y val="2.103479892286296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094371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sz="2000" b="1" i="0" u="none" strike="noStrike" baseline="0">
                <a:latin typeface="+mn-lt"/>
              </a:rPr>
              <a:t>Burndown Chart - Sprint</a:t>
            </a:r>
            <a:r>
              <a:rPr lang="en-US" sz="2000" b="1" i="0" u="none" strike="noStrike" baseline="0">
                <a:latin typeface="+mn-lt"/>
              </a:rPr>
              <a:t> 3</a:t>
            </a:r>
            <a:endParaRPr lang="vi-VN" sz="2000" b="1">
              <a:latin typeface="+mn-lt"/>
            </a:endParaRPr>
          </a:p>
        </c:rich>
      </c:tx>
      <c:layout>
        <c:manualLayout>
          <c:xMode val="edge"/>
          <c:yMode val="edge"/>
          <c:x val="0.31787177053721194"/>
          <c:y val="2.33292015677713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7.4137874774666282E-2"/>
          <c:y val="0.13495378581534842"/>
          <c:w val="0.83493047666870213"/>
          <c:h val="0.75323338118516492"/>
        </c:manualLayout>
      </c:layout>
      <c:lineChart>
        <c:grouping val="standard"/>
        <c:varyColors val="0"/>
        <c:ser>
          <c:idx val="0"/>
          <c:order val="0"/>
          <c:tx>
            <c:v>Thực tế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Sprint3!$I$15:$AB$15</c:f>
              <c:numCache>
                <c:formatCode>dd/mm</c:formatCode>
                <c:ptCount val="20"/>
                <c:pt idx="0">
                  <c:v>46131</c:v>
                </c:pt>
                <c:pt idx="1">
                  <c:v>46132</c:v>
                </c:pt>
                <c:pt idx="2">
                  <c:v>46133</c:v>
                </c:pt>
                <c:pt idx="3">
                  <c:v>46134</c:v>
                </c:pt>
                <c:pt idx="4">
                  <c:v>46135</c:v>
                </c:pt>
                <c:pt idx="5">
                  <c:v>46136</c:v>
                </c:pt>
                <c:pt idx="6">
                  <c:v>46137</c:v>
                </c:pt>
                <c:pt idx="7">
                  <c:v>46138</c:v>
                </c:pt>
                <c:pt idx="8">
                  <c:v>46139</c:v>
                </c:pt>
                <c:pt idx="9">
                  <c:v>46140</c:v>
                </c:pt>
                <c:pt idx="10">
                  <c:v>46141</c:v>
                </c:pt>
                <c:pt idx="11">
                  <c:v>46142</c:v>
                </c:pt>
                <c:pt idx="12">
                  <c:v>46143</c:v>
                </c:pt>
                <c:pt idx="13">
                  <c:v>46144</c:v>
                </c:pt>
                <c:pt idx="14">
                  <c:v>46145</c:v>
                </c:pt>
                <c:pt idx="15">
                  <c:v>46146</c:v>
                </c:pt>
                <c:pt idx="16">
                  <c:v>46147</c:v>
                </c:pt>
                <c:pt idx="17">
                  <c:v>46148</c:v>
                </c:pt>
                <c:pt idx="18">
                  <c:v>46149</c:v>
                </c:pt>
                <c:pt idx="19">
                  <c:v>46150</c:v>
                </c:pt>
              </c:numCache>
            </c:numRef>
          </c:cat>
          <c:val>
            <c:numRef>
              <c:f>Sprint3!$I$97:$AB$97</c:f>
              <c:numCache>
                <c:formatCode>General</c:formatCode>
                <c:ptCount val="20"/>
                <c:pt idx="0">
                  <c:v>190</c:v>
                </c:pt>
                <c:pt idx="1">
                  <c:v>180</c:v>
                </c:pt>
                <c:pt idx="2">
                  <c:v>170</c:v>
                </c:pt>
                <c:pt idx="3">
                  <c:v>160</c:v>
                </c:pt>
                <c:pt idx="4">
                  <c:v>150</c:v>
                </c:pt>
                <c:pt idx="5">
                  <c:v>140</c:v>
                </c:pt>
                <c:pt idx="6">
                  <c:v>130</c:v>
                </c:pt>
                <c:pt idx="7">
                  <c:v>118</c:v>
                </c:pt>
                <c:pt idx="8">
                  <c:v>110</c:v>
                </c:pt>
                <c:pt idx="9">
                  <c:v>100</c:v>
                </c:pt>
                <c:pt idx="10">
                  <c:v>90</c:v>
                </c:pt>
                <c:pt idx="11">
                  <c:v>82</c:v>
                </c:pt>
                <c:pt idx="12">
                  <c:v>74</c:v>
                </c:pt>
                <c:pt idx="13">
                  <c:v>60</c:v>
                </c:pt>
                <c:pt idx="14">
                  <c:v>50</c:v>
                </c:pt>
                <c:pt idx="15">
                  <c:v>40</c:v>
                </c:pt>
                <c:pt idx="16">
                  <c:v>30</c:v>
                </c:pt>
                <c:pt idx="17">
                  <c:v>20</c:v>
                </c:pt>
                <c:pt idx="18">
                  <c:v>10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9B-4A79-8675-F7DDFE986078}"/>
            </c:ext>
          </c:extLst>
        </c:ser>
        <c:ser>
          <c:idx val="1"/>
          <c:order val="1"/>
          <c:tx>
            <c:v>Ước tính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Sprint3!$I$15:$AB$15</c:f>
              <c:numCache>
                <c:formatCode>dd/mm</c:formatCode>
                <c:ptCount val="20"/>
                <c:pt idx="0">
                  <c:v>46131</c:v>
                </c:pt>
                <c:pt idx="1">
                  <c:v>46132</c:v>
                </c:pt>
                <c:pt idx="2">
                  <c:v>46133</c:v>
                </c:pt>
                <c:pt idx="3">
                  <c:v>46134</c:v>
                </c:pt>
                <c:pt idx="4">
                  <c:v>46135</c:v>
                </c:pt>
                <c:pt idx="5">
                  <c:v>46136</c:v>
                </c:pt>
                <c:pt idx="6">
                  <c:v>46137</c:v>
                </c:pt>
                <c:pt idx="7">
                  <c:v>46138</c:v>
                </c:pt>
                <c:pt idx="8">
                  <c:v>46139</c:v>
                </c:pt>
                <c:pt idx="9">
                  <c:v>46140</c:v>
                </c:pt>
                <c:pt idx="10">
                  <c:v>46141</c:v>
                </c:pt>
                <c:pt idx="11">
                  <c:v>46142</c:v>
                </c:pt>
                <c:pt idx="12">
                  <c:v>46143</c:v>
                </c:pt>
                <c:pt idx="13">
                  <c:v>46144</c:v>
                </c:pt>
                <c:pt idx="14">
                  <c:v>46145</c:v>
                </c:pt>
                <c:pt idx="15">
                  <c:v>46146</c:v>
                </c:pt>
                <c:pt idx="16">
                  <c:v>46147</c:v>
                </c:pt>
                <c:pt idx="17">
                  <c:v>46148</c:v>
                </c:pt>
                <c:pt idx="18">
                  <c:v>46149</c:v>
                </c:pt>
                <c:pt idx="19">
                  <c:v>46150</c:v>
                </c:pt>
              </c:numCache>
            </c:numRef>
          </c:cat>
          <c:val>
            <c:numRef>
              <c:f>Sprint3!$I$98:$AB$98</c:f>
              <c:numCache>
                <c:formatCode>General</c:formatCode>
                <c:ptCount val="20"/>
                <c:pt idx="0">
                  <c:v>190</c:v>
                </c:pt>
                <c:pt idx="1">
                  <c:v>180</c:v>
                </c:pt>
                <c:pt idx="2">
                  <c:v>170</c:v>
                </c:pt>
                <c:pt idx="3">
                  <c:v>160</c:v>
                </c:pt>
                <c:pt idx="4">
                  <c:v>150</c:v>
                </c:pt>
                <c:pt idx="5">
                  <c:v>140</c:v>
                </c:pt>
                <c:pt idx="6">
                  <c:v>130</c:v>
                </c:pt>
                <c:pt idx="7">
                  <c:v>119</c:v>
                </c:pt>
                <c:pt idx="8">
                  <c:v>110</c:v>
                </c:pt>
                <c:pt idx="9">
                  <c:v>100</c:v>
                </c:pt>
                <c:pt idx="10">
                  <c:v>90</c:v>
                </c:pt>
                <c:pt idx="11">
                  <c:v>81</c:v>
                </c:pt>
                <c:pt idx="12">
                  <c:v>72</c:v>
                </c:pt>
                <c:pt idx="13">
                  <c:v>60</c:v>
                </c:pt>
                <c:pt idx="14">
                  <c:v>50</c:v>
                </c:pt>
                <c:pt idx="15">
                  <c:v>40</c:v>
                </c:pt>
                <c:pt idx="16">
                  <c:v>30</c:v>
                </c:pt>
                <c:pt idx="17">
                  <c:v>20</c:v>
                </c:pt>
                <c:pt idx="18">
                  <c:v>10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39B-4A79-8675-F7DDFE9860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4371135"/>
        <c:axId val="1094366559"/>
      </c:lineChart>
      <c:dateAx>
        <c:axId val="1094371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300"/>
                  <a:t>(Ngày)</a:t>
                </a:r>
              </a:p>
            </c:rich>
          </c:tx>
          <c:layout>
            <c:manualLayout>
              <c:xMode val="edge"/>
              <c:yMode val="edge"/>
              <c:x val="0.90975664189166916"/>
              <c:y val="0.89205040427291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dd/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094366559"/>
        <c:crosses val="autoZero"/>
        <c:auto val="1"/>
        <c:lblOffset val="100"/>
        <c:baseTimeUnit val="days"/>
      </c:dateAx>
      <c:valAx>
        <c:axId val="1094366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(Giờ)</a:t>
                </a:r>
              </a:p>
            </c:rich>
          </c:tx>
          <c:layout>
            <c:manualLayout>
              <c:xMode val="edge"/>
              <c:yMode val="edge"/>
              <c:x val="3.8992138649536039E-2"/>
              <c:y val="3.021939870653386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094371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452782</xdr:colOff>
      <xdr:row>67</xdr:row>
      <xdr:rowOff>99393</xdr:rowOff>
    </xdr:from>
    <xdr:to>
      <xdr:col>19</xdr:col>
      <xdr:colOff>209825</xdr:colOff>
      <xdr:row>89</xdr:row>
      <xdr:rowOff>154609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2633381</xdr:colOff>
      <xdr:row>109</xdr:row>
      <xdr:rowOff>201705</xdr:rowOff>
    </xdr:from>
    <xdr:to>
      <xdr:col>17</xdr:col>
      <xdr:colOff>668531</xdr:colOff>
      <xdr:row>128</xdr:row>
      <xdr:rowOff>60842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54DCA59-A18B-4B51-9DC9-ABE62391F4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232527</xdr:colOff>
      <xdr:row>100</xdr:row>
      <xdr:rowOff>66262</xdr:rowOff>
    </xdr:from>
    <xdr:to>
      <xdr:col>17</xdr:col>
      <xdr:colOff>380999</xdr:colOff>
      <xdr:row>124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4E03F8-A2EA-4033-A663-C6C4F351D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3"/>
  <sheetViews>
    <sheetView tabSelected="1" zoomScale="55" zoomScaleNormal="55" workbookViewId="0">
      <selection activeCell="Q17" sqref="Q16:Q17"/>
    </sheetView>
  </sheetViews>
  <sheetFormatPr defaultColWidth="8.875" defaultRowHeight="16.5" x14ac:dyDescent="0.2"/>
  <cols>
    <col min="1" max="1" width="8.875" style="1"/>
    <col min="2" max="2" width="17.25" style="1" customWidth="1"/>
    <col min="3" max="3" width="41" style="1" customWidth="1"/>
    <col min="4" max="4" width="37.25" style="1" customWidth="1"/>
    <col min="5" max="5" width="11.75" style="1" customWidth="1"/>
    <col min="6" max="6" width="6.625" style="1" customWidth="1"/>
    <col min="7" max="21" width="6.375" style="1" customWidth="1"/>
    <col min="22" max="26" width="8.875" style="1"/>
    <col min="27" max="27" width="8.875" style="1" customWidth="1"/>
    <col min="28" max="16384" width="8.875" style="1"/>
  </cols>
  <sheetData>
    <row r="1" spans="1:21" ht="27" customHeight="1" x14ac:dyDescent="0.2">
      <c r="A1" s="56" t="s">
        <v>0</v>
      </c>
      <c r="B1" s="57"/>
      <c r="C1" s="48" t="s">
        <v>34</v>
      </c>
      <c r="D1" s="50"/>
      <c r="E1" s="50"/>
      <c r="F1" s="50"/>
      <c r="G1" s="49"/>
    </row>
    <row r="2" spans="1:21" x14ac:dyDescent="0.2">
      <c r="A2" s="56" t="s">
        <v>2</v>
      </c>
      <c r="B2" s="57"/>
      <c r="C2" s="48" t="s">
        <v>3</v>
      </c>
      <c r="D2" s="50"/>
      <c r="E2" s="50"/>
      <c r="F2" s="50"/>
      <c r="G2" s="49"/>
    </row>
    <row r="3" spans="1:21" x14ac:dyDescent="0.2">
      <c r="A3" s="56" t="s">
        <v>5</v>
      </c>
      <c r="B3" s="57"/>
      <c r="C3" s="51">
        <v>46099</v>
      </c>
      <c r="D3" s="52"/>
      <c r="E3" s="52"/>
      <c r="F3" s="52"/>
      <c r="G3" s="53"/>
      <c r="J3" s="3"/>
      <c r="K3" s="46" t="s">
        <v>1</v>
      </c>
      <c r="L3" s="46"/>
      <c r="M3" s="46"/>
    </row>
    <row r="4" spans="1:21" x14ac:dyDescent="0.2">
      <c r="A4" s="56" t="s">
        <v>7</v>
      </c>
      <c r="B4" s="57"/>
      <c r="C4" s="51">
        <v>46111</v>
      </c>
      <c r="D4" s="52"/>
      <c r="E4" s="52"/>
      <c r="F4" s="52"/>
      <c r="G4" s="53"/>
      <c r="J4" s="4"/>
      <c r="K4" s="46" t="s">
        <v>4</v>
      </c>
      <c r="L4" s="46"/>
      <c r="M4" s="46"/>
    </row>
    <row r="5" spans="1:21" x14ac:dyDescent="0.2">
      <c r="J5" s="5"/>
      <c r="K5" s="46" t="s">
        <v>6</v>
      </c>
      <c r="L5" s="46"/>
      <c r="M5" s="46"/>
    </row>
    <row r="6" spans="1:21" x14ac:dyDescent="0.2">
      <c r="B6" s="58" t="s">
        <v>8</v>
      </c>
      <c r="C6" s="58"/>
      <c r="D6" s="58"/>
      <c r="E6" s="58"/>
    </row>
    <row r="7" spans="1:21" x14ac:dyDescent="0.2">
      <c r="B7" s="22" t="s">
        <v>9</v>
      </c>
      <c r="C7" s="22" t="s">
        <v>10</v>
      </c>
      <c r="D7" s="22" t="s">
        <v>11</v>
      </c>
      <c r="E7" s="22" t="s">
        <v>12</v>
      </c>
    </row>
    <row r="8" spans="1:21" x14ac:dyDescent="0.2">
      <c r="B8" s="9">
        <v>1</v>
      </c>
      <c r="C8" s="8" t="s">
        <v>35</v>
      </c>
      <c r="D8" s="9">
        <f ca="1">SUMIF(E15:F63,"Cường",G15:G63)+SUMIF(E15:F63,"Vy, Thi, Cường",G15:G63)/3+SUMIF(E15:F63,"All team",G15:G63)/5+SUMIF(E15:F63,"Cường, Vy",G15:G63)/2</f>
        <v>25.8</v>
      </c>
      <c r="E8" s="9">
        <f ca="1">SUMIF(E15:F63,"Cường",H15:H63)+SUMIF(E15:F63,"Vy, Thi, Cường",H15:H63)/3+SUMIF(E15:F63,"All team",H15:H63)/5+SUMIF(E15:F63,"Cường, Vy",H15:H63)/2</f>
        <v>26</v>
      </c>
    </row>
    <row r="9" spans="1:21" x14ac:dyDescent="0.2">
      <c r="B9" s="9">
        <v>2</v>
      </c>
      <c r="C9" s="8" t="s">
        <v>36</v>
      </c>
      <c r="D9" s="9">
        <f ca="1">SUMIF(E15:F63,"Ly",G15:G63)+SUMIF(E15:F63,"Yên, Ly",G15:G63)/2+SUMIF(E15:F63,"All team",G15:G63)/5</f>
        <v>25.8</v>
      </c>
      <c r="E9" s="9">
        <f ca="1">SUMIF(E15:F63,"Ly",H15:H63)+SUMIF(E15:F63,"Yên, Ly",H15:H63)/2+SUMIF(E15:F63,"All team",H15:H63)/5</f>
        <v>26</v>
      </c>
    </row>
    <row r="10" spans="1:21" x14ac:dyDescent="0.2">
      <c r="B10" s="9">
        <v>3</v>
      </c>
      <c r="C10" s="8" t="s">
        <v>37</v>
      </c>
      <c r="D10" s="9">
        <f ca="1">SUMIF(E15:F63,"Thi",G15:G63)+SUMIF(E15:F63,"Vy, Thi, Cường",G15:G63)/3+SUMIF(E15:F63,"All team",G15:G63)/5+SUMIF(E15:F63,"Vy, Thi",G15:G63)/2+SUMIF(E15:F63,"Yên, Thi",G15:G63)/2</f>
        <v>28.8</v>
      </c>
      <c r="E10" s="9">
        <f ca="1">SUMIF(E15:F63,"Thi",H15:H63)+SUMIF(E15:F63,"Vy, Thi, Cường",H15:H63)/3+SUMIF(E15:F63,"All team",H15:H63)/5+SUMIF(E15:F63,"Vy, Thi",H15:H63)/2+SUMIF(E15:F63,"Yên, Thi",H15:H63)/2</f>
        <v>28</v>
      </c>
    </row>
    <row r="11" spans="1:21" x14ac:dyDescent="0.2">
      <c r="B11" s="9">
        <v>4</v>
      </c>
      <c r="C11" s="8" t="s">
        <v>39</v>
      </c>
      <c r="D11" s="9">
        <f ca="1">SUMIF(E15:F63,"Vy",G15:G63)+SUMIF(E15:F63,"Vy, Thi, Cường",G15:G63)/3+SUMIF(E15:F63,"All team",G15:G63)/5+SUMIF(E15:F63,"Cường, Vy",G15:G63)/2+SUMIF(E15:F63,"Vy, Thi",G15:G63)/2</f>
        <v>29.8</v>
      </c>
      <c r="E11" s="9">
        <f ca="1">SUMIF(E15:F63,"Vy",H15:H63)+SUMIF(E15:F63,"Vy, Thi, Cường",H15:H63)/3+SUMIF(E15:F63,"All team",H15:H63)/5+SUMIF(E15:F63,"Cường, Vy",H15:H63)/2+SUMIF(E15:F63,"Vy, Thi",H15:H63)/2</f>
        <v>28</v>
      </c>
    </row>
    <row r="12" spans="1:21" x14ac:dyDescent="0.2">
      <c r="B12" s="9">
        <v>5</v>
      </c>
      <c r="C12" s="8" t="s">
        <v>38</v>
      </c>
      <c r="D12" s="9">
        <f ca="1">SUMIF(E15:F63,"Yên",G15:G63)+SUMIF(E15:F63,"Yên, Ly",G15:G63)/2+SUMIF(E15:F63,"All team",G15:G63)/5+SUMIF(E15:F63,"Yên, Thi",G15:G63)/2</f>
        <v>26.8</v>
      </c>
      <c r="E12" s="9">
        <f ca="1">SUMIF(E15:F63,"Yên",H15:H63)+SUMIF(E15:F63,"Yên, Ly",H15:H63)/2+SUMIF(E15:F63,"All team",H15:H63)/5+SUMIF(E15:F63,"Yên, Thi",H15:H63)/2</f>
        <v>26</v>
      </c>
    </row>
    <row r="13" spans="1:21" x14ac:dyDescent="0.2">
      <c r="B13" s="58" t="s">
        <v>13</v>
      </c>
      <c r="C13" s="58"/>
      <c r="D13" s="12">
        <f ca="1">SUM(D8:D12)</f>
        <v>137</v>
      </c>
      <c r="E13" s="12">
        <f ca="1">SUM(E8:E12)</f>
        <v>134</v>
      </c>
    </row>
    <row r="15" spans="1:21" ht="65.45" customHeight="1" x14ac:dyDescent="0.2">
      <c r="A15" s="6" t="s">
        <v>14</v>
      </c>
      <c r="B15" s="6" t="s">
        <v>15</v>
      </c>
      <c r="C15" s="59" t="s">
        <v>16</v>
      </c>
      <c r="D15" s="60"/>
      <c r="E15" s="61" t="s">
        <v>17</v>
      </c>
      <c r="F15" s="62"/>
      <c r="G15" s="26" t="s">
        <v>11</v>
      </c>
      <c r="H15" s="26" t="s">
        <v>12</v>
      </c>
      <c r="I15" s="7">
        <v>46099</v>
      </c>
      <c r="J15" s="7">
        <v>46100</v>
      </c>
      <c r="K15" s="7">
        <v>46101</v>
      </c>
      <c r="L15" s="7">
        <v>46102</v>
      </c>
      <c r="M15" s="7">
        <v>46103</v>
      </c>
      <c r="N15" s="7">
        <v>46104</v>
      </c>
      <c r="O15" s="7">
        <v>46105</v>
      </c>
      <c r="P15" s="7">
        <v>46106</v>
      </c>
      <c r="Q15" s="7">
        <v>46107</v>
      </c>
      <c r="R15" s="7">
        <v>46108</v>
      </c>
      <c r="S15" s="7">
        <v>46109</v>
      </c>
      <c r="T15" s="7">
        <v>46110</v>
      </c>
      <c r="U15" s="7">
        <v>46111</v>
      </c>
    </row>
    <row r="16" spans="1:21" x14ac:dyDescent="0.2">
      <c r="A16" s="41" t="s">
        <v>3</v>
      </c>
      <c r="B16" s="48" t="s">
        <v>18</v>
      </c>
      <c r="C16" s="50"/>
      <c r="D16" s="49"/>
      <c r="E16" s="29" t="s">
        <v>19</v>
      </c>
      <c r="F16" s="30"/>
      <c r="G16" s="27">
        <f>H16+I16</f>
        <v>10</v>
      </c>
      <c r="H16" s="27">
        <v>10</v>
      </c>
      <c r="I16" s="3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</row>
    <row r="17" spans="1:21" x14ac:dyDescent="0.2">
      <c r="A17" s="45"/>
      <c r="B17" s="48" t="s">
        <v>20</v>
      </c>
      <c r="C17" s="50"/>
      <c r="D17" s="49"/>
      <c r="E17" s="29" t="s">
        <v>143</v>
      </c>
      <c r="F17" s="30"/>
      <c r="G17" s="27">
        <f>H17+J17</f>
        <v>4</v>
      </c>
      <c r="H17" s="27">
        <v>4</v>
      </c>
      <c r="I17" s="27">
        <v>4</v>
      </c>
      <c r="J17" s="3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</row>
    <row r="18" spans="1:21" x14ac:dyDescent="0.2">
      <c r="A18" s="45"/>
      <c r="B18" s="48" t="s">
        <v>240</v>
      </c>
      <c r="C18" s="50"/>
      <c r="D18" s="49"/>
      <c r="E18" s="29" t="s">
        <v>144</v>
      </c>
      <c r="F18" s="30"/>
      <c r="G18" s="27">
        <f>H18+J18</f>
        <v>6</v>
      </c>
      <c r="H18" s="27">
        <v>6</v>
      </c>
      <c r="I18" s="27">
        <v>6</v>
      </c>
      <c r="J18" s="3"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</row>
    <row r="19" spans="1:21" ht="16.899999999999999" customHeight="1" x14ac:dyDescent="0.2">
      <c r="A19" s="45"/>
      <c r="B19" s="41" t="s">
        <v>22</v>
      </c>
      <c r="C19" s="31" t="s">
        <v>212</v>
      </c>
      <c r="D19" s="32"/>
      <c r="E19" s="29" t="s">
        <v>145</v>
      </c>
      <c r="F19" s="30"/>
      <c r="G19" s="27">
        <f>H19+K19</f>
        <v>2</v>
      </c>
      <c r="H19" s="27">
        <v>2</v>
      </c>
      <c r="I19" s="27">
        <v>2</v>
      </c>
      <c r="J19" s="27">
        <v>2</v>
      </c>
      <c r="K19" s="3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</row>
    <row r="20" spans="1:21" x14ac:dyDescent="0.2">
      <c r="A20" s="45"/>
      <c r="B20" s="45"/>
      <c r="C20" s="31" t="s">
        <v>213</v>
      </c>
      <c r="D20" s="32"/>
      <c r="E20" s="29" t="s">
        <v>147</v>
      </c>
      <c r="F20" s="30"/>
      <c r="G20" s="27">
        <f>H20+K20</f>
        <v>2</v>
      </c>
      <c r="H20" s="27">
        <v>2</v>
      </c>
      <c r="I20" s="27">
        <v>2</v>
      </c>
      <c r="J20" s="27">
        <v>2</v>
      </c>
      <c r="K20" s="3">
        <v>0</v>
      </c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</row>
    <row r="21" spans="1:21" x14ac:dyDescent="0.2">
      <c r="A21" s="45"/>
      <c r="B21" s="45"/>
      <c r="C21" s="31" t="s">
        <v>214</v>
      </c>
      <c r="D21" s="32"/>
      <c r="E21" s="29" t="s">
        <v>149</v>
      </c>
      <c r="F21" s="30"/>
      <c r="G21" s="27">
        <f>H21+K22</f>
        <v>3</v>
      </c>
      <c r="H21" s="27">
        <v>2</v>
      </c>
      <c r="I21" s="27">
        <v>2</v>
      </c>
      <c r="J21" s="27">
        <v>2</v>
      </c>
      <c r="K21" s="3">
        <v>0</v>
      </c>
      <c r="L21" s="28">
        <v>0</v>
      </c>
      <c r="M21" s="28">
        <v>0</v>
      </c>
      <c r="N21" s="28">
        <v>0</v>
      </c>
      <c r="O21" s="28">
        <v>0</v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</row>
    <row r="22" spans="1:21" x14ac:dyDescent="0.2">
      <c r="A22" s="45"/>
      <c r="B22" s="45"/>
      <c r="C22" s="29"/>
      <c r="D22" s="30"/>
      <c r="E22" s="29"/>
      <c r="F22" s="30"/>
      <c r="G22" s="27"/>
      <c r="H22" s="27"/>
      <c r="I22" s="28"/>
      <c r="J22" s="28"/>
      <c r="K22" s="4">
        <v>1</v>
      </c>
      <c r="L22" s="28">
        <v>0</v>
      </c>
      <c r="M22" s="28">
        <v>0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</row>
    <row r="23" spans="1:21" x14ac:dyDescent="0.2">
      <c r="A23" s="45"/>
      <c r="B23" s="45"/>
      <c r="C23" s="31" t="s">
        <v>215</v>
      </c>
      <c r="D23" s="32"/>
      <c r="E23" s="29" t="s">
        <v>146</v>
      </c>
      <c r="F23" s="30"/>
      <c r="G23" s="27">
        <f>H23+K23</f>
        <v>2</v>
      </c>
      <c r="H23" s="27">
        <v>2</v>
      </c>
      <c r="I23" s="27">
        <v>2</v>
      </c>
      <c r="J23" s="27">
        <v>2</v>
      </c>
      <c r="K23" s="3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</row>
    <row r="24" spans="1:21" x14ac:dyDescent="0.2">
      <c r="A24" s="45"/>
      <c r="B24" s="45"/>
      <c r="C24" s="31" t="s">
        <v>98</v>
      </c>
      <c r="D24" s="32"/>
      <c r="E24" s="29" t="s">
        <v>148</v>
      </c>
      <c r="F24" s="30"/>
      <c r="G24" s="27">
        <f>H24+K24</f>
        <v>2</v>
      </c>
      <c r="H24" s="27">
        <v>2</v>
      </c>
      <c r="I24" s="27">
        <v>2</v>
      </c>
      <c r="J24" s="27">
        <v>2</v>
      </c>
      <c r="K24" s="3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</row>
    <row r="25" spans="1:21" x14ac:dyDescent="0.2">
      <c r="A25" s="45"/>
      <c r="B25" s="45"/>
      <c r="C25" s="31" t="s">
        <v>23</v>
      </c>
      <c r="D25" s="32"/>
      <c r="E25" s="29" t="s">
        <v>19</v>
      </c>
      <c r="F25" s="30"/>
      <c r="G25" s="27">
        <f>H25+L25</f>
        <v>10</v>
      </c>
      <c r="H25" s="27">
        <v>10</v>
      </c>
      <c r="I25" s="27">
        <v>10</v>
      </c>
      <c r="J25" s="27">
        <v>10</v>
      </c>
      <c r="K25" s="27">
        <v>10</v>
      </c>
      <c r="L25" s="3">
        <v>0</v>
      </c>
      <c r="M25" s="28">
        <v>0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</row>
    <row r="26" spans="1:21" x14ac:dyDescent="0.2">
      <c r="A26" s="45"/>
      <c r="B26" s="41" t="s">
        <v>24</v>
      </c>
      <c r="C26" s="31" t="s">
        <v>216</v>
      </c>
      <c r="D26" s="32"/>
      <c r="E26" s="29" t="s">
        <v>146</v>
      </c>
      <c r="F26" s="30"/>
      <c r="G26" s="27">
        <f>H26+M26</f>
        <v>2</v>
      </c>
      <c r="H26" s="27">
        <v>2</v>
      </c>
      <c r="I26" s="27">
        <v>2</v>
      </c>
      <c r="J26" s="27">
        <v>2</v>
      </c>
      <c r="K26" s="27">
        <v>2</v>
      </c>
      <c r="L26" s="27">
        <v>2</v>
      </c>
      <c r="M26" s="3">
        <v>0</v>
      </c>
      <c r="N26" s="28">
        <v>0</v>
      </c>
      <c r="O26" s="28">
        <v>0</v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</row>
    <row r="27" spans="1:21" x14ac:dyDescent="0.2">
      <c r="A27" s="45"/>
      <c r="B27" s="45"/>
      <c r="C27" s="54" t="s">
        <v>217</v>
      </c>
      <c r="D27" s="55"/>
      <c r="E27" s="29" t="s">
        <v>149</v>
      </c>
      <c r="F27" s="30"/>
      <c r="G27" s="27">
        <f>H27+M27</f>
        <v>2</v>
      </c>
      <c r="H27" s="27">
        <v>2</v>
      </c>
      <c r="I27" s="27">
        <v>2</v>
      </c>
      <c r="J27" s="27">
        <v>2</v>
      </c>
      <c r="K27" s="27">
        <v>2</v>
      </c>
      <c r="L27" s="27">
        <v>2</v>
      </c>
      <c r="M27" s="3">
        <v>0</v>
      </c>
      <c r="N27" s="28">
        <v>0</v>
      </c>
      <c r="O27" s="28">
        <v>0</v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</row>
    <row r="28" spans="1:21" x14ac:dyDescent="0.2">
      <c r="A28" s="45"/>
      <c r="B28" s="45"/>
      <c r="C28" s="54" t="s">
        <v>218</v>
      </c>
      <c r="D28" s="55"/>
      <c r="E28" s="29" t="s">
        <v>148</v>
      </c>
      <c r="F28" s="30"/>
      <c r="G28" s="27">
        <f>H28+M29</f>
        <v>3</v>
      </c>
      <c r="H28" s="27">
        <v>2</v>
      </c>
      <c r="I28" s="27">
        <v>2</v>
      </c>
      <c r="J28" s="27">
        <v>2</v>
      </c>
      <c r="K28" s="27">
        <v>2</v>
      </c>
      <c r="L28" s="27">
        <v>2</v>
      </c>
      <c r="M28" s="3">
        <v>0</v>
      </c>
      <c r="N28" s="28">
        <v>0</v>
      </c>
      <c r="O28" s="28">
        <v>0</v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</row>
    <row r="29" spans="1:21" x14ac:dyDescent="0.2">
      <c r="A29" s="45"/>
      <c r="B29" s="45"/>
      <c r="C29" s="31"/>
      <c r="D29" s="32"/>
      <c r="E29" s="29"/>
      <c r="F29" s="30"/>
      <c r="G29" s="27"/>
      <c r="H29" s="27"/>
      <c r="I29" s="27"/>
      <c r="J29" s="27"/>
      <c r="K29" s="27"/>
      <c r="L29" s="27"/>
      <c r="M29" s="4">
        <v>1</v>
      </c>
      <c r="N29" s="28"/>
      <c r="O29" s="28"/>
      <c r="P29" s="28"/>
      <c r="Q29" s="28"/>
      <c r="R29" s="28"/>
      <c r="S29" s="28"/>
      <c r="T29" s="28"/>
      <c r="U29" s="28"/>
    </row>
    <row r="30" spans="1:21" x14ac:dyDescent="0.2">
      <c r="A30" s="45"/>
      <c r="B30" s="45"/>
      <c r="C30" s="54" t="s">
        <v>219</v>
      </c>
      <c r="D30" s="55"/>
      <c r="E30" s="29" t="s">
        <v>147</v>
      </c>
      <c r="F30" s="30"/>
      <c r="G30" s="27">
        <f>H30+M30</f>
        <v>2</v>
      </c>
      <c r="H30" s="27">
        <v>2</v>
      </c>
      <c r="I30" s="27">
        <v>2</v>
      </c>
      <c r="J30" s="27">
        <v>2</v>
      </c>
      <c r="K30" s="27">
        <v>2</v>
      </c>
      <c r="L30" s="27">
        <v>2</v>
      </c>
      <c r="M30" s="3">
        <v>0</v>
      </c>
      <c r="N30" s="28">
        <v>0</v>
      </c>
      <c r="O30" s="28">
        <v>0</v>
      </c>
      <c r="P30" s="28">
        <v>0</v>
      </c>
      <c r="Q30" s="28">
        <v>0</v>
      </c>
      <c r="R30" s="28">
        <v>0</v>
      </c>
      <c r="S30" s="28">
        <v>0</v>
      </c>
      <c r="T30" s="28">
        <v>0</v>
      </c>
      <c r="U30" s="28">
        <v>0</v>
      </c>
    </row>
    <row r="31" spans="1:21" x14ac:dyDescent="0.2">
      <c r="A31" s="45"/>
      <c r="B31" s="45"/>
      <c r="C31" s="31" t="s">
        <v>177</v>
      </c>
      <c r="D31" s="32"/>
      <c r="E31" s="29" t="s">
        <v>145</v>
      </c>
      <c r="F31" s="30"/>
      <c r="G31" s="27">
        <f>H31+M31</f>
        <v>2</v>
      </c>
      <c r="H31" s="27">
        <v>2</v>
      </c>
      <c r="I31" s="27">
        <v>2</v>
      </c>
      <c r="J31" s="27">
        <v>2</v>
      </c>
      <c r="K31" s="27">
        <v>2</v>
      </c>
      <c r="L31" s="27">
        <v>2</v>
      </c>
      <c r="M31" s="3">
        <v>0</v>
      </c>
      <c r="N31" s="28">
        <v>0</v>
      </c>
      <c r="O31" s="28">
        <v>0</v>
      </c>
      <c r="P31" s="28">
        <v>0</v>
      </c>
      <c r="Q31" s="28">
        <v>0</v>
      </c>
      <c r="R31" s="28">
        <v>0</v>
      </c>
      <c r="S31" s="28">
        <v>0</v>
      </c>
      <c r="T31" s="28">
        <v>0</v>
      </c>
      <c r="U31" s="28">
        <v>0</v>
      </c>
    </row>
    <row r="32" spans="1:21" x14ac:dyDescent="0.2">
      <c r="A32" s="45"/>
      <c r="B32" s="45"/>
      <c r="C32" s="31" t="s">
        <v>25</v>
      </c>
      <c r="D32" s="32"/>
      <c r="E32" s="29" t="s">
        <v>19</v>
      </c>
      <c r="F32" s="30"/>
      <c r="G32" s="27">
        <f>H32+N33</f>
        <v>9</v>
      </c>
      <c r="H32" s="27">
        <v>10</v>
      </c>
      <c r="I32" s="27">
        <v>10</v>
      </c>
      <c r="J32" s="27">
        <v>10</v>
      </c>
      <c r="K32" s="27">
        <v>10</v>
      </c>
      <c r="L32" s="27">
        <v>10</v>
      </c>
      <c r="M32" s="27">
        <v>10</v>
      </c>
      <c r="N32" s="3">
        <v>0</v>
      </c>
      <c r="O32" s="28">
        <v>0</v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</row>
    <row r="33" spans="1:21" x14ac:dyDescent="0.2">
      <c r="A33" s="45"/>
      <c r="B33" s="42"/>
      <c r="C33" s="29"/>
      <c r="D33" s="30"/>
      <c r="E33" s="29"/>
      <c r="F33" s="30"/>
      <c r="G33" s="27"/>
      <c r="H33" s="27"/>
      <c r="I33" s="28"/>
      <c r="J33" s="28"/>
      <c r="K33" s="28"/>
      <c r="L33" s="28"/>
      <c r="M33" s="28"/>
      <c r="N33" s="5">
        <v>-1</v>
      </c>
      <c r="O33" s="28"/>
      <c r="P33" s="28"/>
      <c r="Q33" s="28"/>
      <c r="R33" s="28"/>
      <c r="S33" s="28"/>
      <c r="T33" s="28"/>
      <c r="U33" s="28"/>
    </row>
    <row r="34" spans="1:21" x14ac:dyDescent="0.2">
      <c r="A34" s="45"/>
      <c r="B34" s="41" t="s">
        <v>26</v>
      </c>
      <c r="C34" s="31" t="s">
        <v>220</v>
      </c>
      <c r="D34" s="32"/>
      <c r="E34" s="29" t="s">
        <v>149</v>
      </c>
      <c r="F34" s="30"/>
      <c r="G34" s="27">
        <f>H34</f>
        <v>2</v>
      </c>
      <c r="H34" s="27">
        <v>2</v>
      </c>
      <c r="I34" s="27">
        <v>2</v>
      </c>
      <c r="J34" s="27">
        <v>2</v>
      </c>
      <c r="K34" s="27">
        <v>2</v>
      </c>
      <c r="L34" s="27">
        <v>2</v>
      </c>
      <c r="M34" s="27">
        <v>2</v>
      </c>
      <c r="N34" s="27">
        <v>2</v>
      </c>
      <c r="O34" s="3">
        <v>0</v>
      </c>
      <c r="P34" s="28">
        <v>0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</row>
    <row r="35" spans="1:21" x14ac:dyDescent="0.2">
      <c r="A35" s="45"/>
      <c r="B35" s="45"/>
      <c r="C35" s="31" t="s">
        <v>221</v>
      </c>
      <c r="D35" s="32"/>
      <c r="E35" s="29" t="s">
        <v>148</v>
      </c>
      <c r="F35" s="30"/>
      <c r="G35" s="27">
        <f t="shared" ref="G35:G38" si="0">H35</f>
        <v>2</v>
      </c>
      <c r="H35" s="27">
        <v>2</v>
      </c>
      <c r="I35" s="27">
        <v>2</v>
      </c>
      <c r="J35" s="27">
        <v>2</v>
      </c>
      <c r="K35" s="27">
        <v>2</v>
      </c>
      <c r="L35" s="27">
        <v>2</v>
      </c>
      <c r="M35" s="27">
        <v>2</v>
      </c>
      <c r="N35" s="27">
        <v>2</v>
      </c>
      <c r="O35" s="3">
        <v>0</v>
      </c>
      <c r="P35" s="28">
        <v>0</v>
      </c>
      <c r="Q35" s="28">
        <v>0</v>
      </c>
      <c r="R35" s="28">
        <v>0</v>
      </c>
      <c r="S35" s="28">
        <v>0</v>
      </c>
      <c r="T35" s="28">
        <v>0</v>
      </c>
      <c r="U35" s="28">
        <v>0</v>
      </c>
    </row>
    <row r="36" spans="1:21" x14ac:dyDescent="0.2">
      <c r="A36" s="45"/>
      <c r="B36" s="45"/>
      <c r="C36" s="31" t="s">
        <v>222</v>
      </c>
      <c r="D36" s="32"/>
      <c r="E36" s="29" t="s">
        <v>147</v>
      </c>
      <c r="F36" s="30"/>
      <c r="G36" s="27">
        <f t="shared" si="0"/>
        <v>2</v>
      </c>
      <c r="H36" s="27">
        <v>2</v>
      </c>
      <c r="I36" s="27">
        <v>2</v>
      </c>
      <c r="J36" s="27">
        <v>2</v>
      </c>
      <c r="K36" s="27">
        <v>2</v>
      </c>
      <c r="L36" s="27">
        <v>2</v>
      </c>
      <c r="M36" s="27">
        <v>2</v>
      </c>
      <c r="N36" s="27">
        <v>2</v>
      </c>
      <c r="O36" s="3">
        <v>0</v>
      </c>
      <c r="P36" s="28">
        <v>0</v>
      </c>
      <c r="Q36" s="28">
        <v>0</v>
      </c>
      <c r="R36" s="28">
        <v>0</v>
      </c>
      <c r="S36" s="28">
        <v>0</v>
      </c>
      <c r="T36" s="28">
        <v>0</v>
      </c>
      <c r="U36" s="28">
        <v>0</v>
      </c>
    </row>
    <row r="37" spans="1:21" x14ac:dyDescent="0.2">
      <c r="A37" s="45"/>
      <c r="B37" s="45"/>
      <c r="C37" s="31" t="s">
        <v>223</v>
      </c>
      <c r="D37" s="32"/>
      <c r="E37" s="29" t="s">
        <v>145</v>
      </c>
      <c r="F37" s="30"/>
      <c r="G37" s="27">
        <f t="shared" si="0"/>
        <v>2</v>
      </c>
      <c r="H37" s="27">
        <v>2</v>
      </c>
      <c r="I37" s="27">
        <v>2</v>
      </c>
      <c r="J37" s="27">
        <v>2</v>
      </c>
      <c r="K37" s="27">
        <v>2</v>
      </c>
      <c r="L37" s="27">
        <v>2</v>
      </c>
      <c r="M37" s="27">
        <v>2</v>
      </c>
      <c r="N37" s="27">
        <v>2</v>
      </c>
      <c r="O37" s="3">
        <v>0</v>
      </c>
      <c r="P37" s="28">
        <v>0</v>
      </c>
      <c r="Q37" s="28">
        <v>0</v>
      </c>
      <c r="R37" s="28">
        <v>0</v>
      </c>
      <c r="S37" s="28">
        <v>0</v>
      </c>
      <c r="T37" s="28">
        <v>0</v>
      </c>
      <c r="U37" s="28">
        <v>0</v>
      </c>
    </row>
    <row r="38" spans="1:21" x14ac:dyDescent="0.2">
      <c r="A38" s="45"/>
      <c r="B38" s="45"/>
      <c r="C38" s="31" t="s">
        <v>114</v>
      </c>
      <c r="D38" s="32"/>
      <c r="E38" s="29" t="s">
        <v>146</v>
      </c>
      <c r="F38" s="30"/>
      <c r="G38" s="27">
        <f t="shared" si="0"/>
        <v>2</v>
      </c>
      <c r="H38" s="27">
        <v>2</v>
      </c>
      <c r="I38" s="27">
        <v>2</v>
      </c>
      <c r="J38" s="27">
        <v>2</v>
      </c>
      <c r="K38" s="27">
        <v>2</v>
      </c>
      <c r="L38" s="27">
        <v>2</v>
      </c>
      <c r="M38" s="27">
        <v>2</v>
      </c>
      <c r="N38" s="27">
        <v>2</v>
      </c>
      <c r="O38" s="3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</row>
    <row r="39" spans="1:21" x14ac:dyDescent="0.2">
      <c r="A39" s="45"/>
      <c r="B39" s="45"/>
      <c r="C39" s="31" t="s">
        <v>224</v>
      </c>
      <c r="D39" s="32"/>
      <c r="E39" s="29" t="s">
        <v>149</v>
      </c>
      <c r="F39" s="30"/>
      <c r="G39" s="27">
        <f>H39+P39</f>
        <v>2</v>
      </c>
      <c r="H39" s="27">
        <v>2</v>
      </c>
      <c r="I39" s="27">
        <v>2</v>
      </c>
      <c r="J39" s="27">
        <v>2</v>
      </c>
      <c r="K39" s="27">
        <v>2</v>
      </c>
      <c r="L39" s="27">
        <v>2</v>
      </c>
      <c r="M39" s="27">
        <v>2</v>
      </c>
      <c r="N39" s="27">
        <v>2</v>
      </c>
      <c r="O39" s="27">
        <v>2</v>
      </c>
      <c r="P39" s="3">
        <v>0</v>
      </c>
      <c r="Q39" s="28">
        <v>0</v>
      </c>
      <c r="R39" s="28">
        <v>0</v>
      </c>
      <c r="S39" s="28">
        <v>0</v>
      </c>
      <c r="T39" s="28">
        <v>0</v>
      </c>
      <c r="U39" s="28">
        <v>0</v>
      </c>
    </row>
    <row r="40" spans="1:21" x14ac:dyDescent="0.2">
      <c r="A40" s="45"/>
      <c r="B40" s="45"/>
      <c r="C40" s="31" t="s">
        <v>225</v>
      </c>
      <c r="D40" s="32"/>
      <c r="E40" s="29" t="s">
        <v>148</v>
      </c>
      <c r="F40" s="30"/>
      <c r="G40" s="27">
        <f>H40+P40</f>
        <v>2</v>
      </c>
      <c r="H40" s="27">
        <v>2</v>
      </c>
      <c r="I40" s="27">
        <v>2</v>
      </c>
      <c r="J40" s="27">
        <v>2</v>
      </c>
      <c r="K40" s="27">
        <v>2</v>
      </c>
      <c r="L40" s="27">
        <v>2</v>
      </c>
      <c r="M40" s="27">
        <v>2</v>
      </c>
      <c r="N40" s="27">
        <v>2</v>
      </c>
      <c r="O40" s="27">
        <v>2</v>
      </c>
      <c r="P40" s="3">
        <v>0</v>
      </c>
      <c r="Q40" s="28">
        <v>0</v>
      </c>
      <c r="R40" s="28">
        <v>0</v>
      </c>
      <c r="S40" s="28">
        <v>0</v>
      </c>
      <c r="T40" s="28">
        <v>0</v>
      </c>
      <c r="U40" s="28">
        <v>0</v>
      </c>
    </row>
    <row r="41" spans="1:21" x14ac:dyDescent="0.2">
      <c r="A41" s="45"/>
      <c r="B41" s="45"/>
      <c r="C41" s="31" t="s">
        <v>226</v>
      </c>
      <c r="D41" s="32"/>
      <c r="E41" s="29" t="s">
        <v>147</v>
      </c>
      <c r="F41" s="30"/>
      <c r="G41" s="27">
        <f>H41+P42</f>
        <v>3</v>
      </c>
      <c r="H41" s="27">
        <v>2</v>
      </c>
      <c r="I41" s="27">
        <v>2</v>
      </c>
      <c r="J41" s="27">
        <v>2</v>
      </c>
      <c r="K41" s="27">
        <v>2</v>
      </c>
      <c r="L41" s="27">
        <v>2</v>
      </c>
      <c r="M41" s="27">
        <v>2</v>
      </c>
      <c r="N41" s="27">
        <v>2</v>
      </c>
      <c r="O41" s="27">
        <v>2</v>
      </c>
      <c r="P41" s="3">
        <v>0</v>
      </c>
      <c r="Q41" s="28">
        <v>0</v>
      </c>
      <c r="R41" s="28">
        <v>0</v>
      </c>
      <c r="S41" s="28">
        <v>0</v>
      </c>
      <c r="T41" s="28">
        <v>0</v>
      </c>
      <c r="U41" s="28">
        <v>0</v>
      </c>
    </row>
    <row r="42" spans="1:21" x14ac:dyDescent="0.2">
      <c r="A42" s="45"/>
      <c r="B42" s="45"/>
      <c r="C42" s="48"/>
      <c r="D42" s="49"/>
      <c r="E42" s="29"/>
      <c r="F42" s="30"/>
      <c r="G42" s="27"/>
      <c r="H42" s="27"/>
      <c r="I42" s="27"/>
      <c r="J42" s="27"/>
      <c r="K42" s="27"/>
      <c r="L42" s="27"/>
      <c r="M42" s="27"/>
      <c r="N42" s="27"/>
      <c r="O42" s="27"/>
      <c r="P42" s="4">
        <v>1</v>
      </c>
      <c r="Q42" s="28"/>
      <c r="R42" s="28"/>
      <c r="S42" s="28"/>
      <c r="T42" s="28"/>
      <c r="U42" s="28"/>
    </row>
    <row r="43" spans="1:21" x14ac:dyDescent="0.2">
      <c r="A43" s="45"/>
      <c r="B43" s="45"/>
      <c r="C43" s="31" t="s">
        <v>227</v>
      </c>
      <c r="D43" s="32"/>
      <c r="E43" s="29" t="s">
        <v>145</v>
      </c>
      <c r="F43" s="30"/>
      <c r="G43" s="27">
        <f>H43+P43</f>
        <v>2</v>
      </c>
      <c r="H43" s="27">
        <v>2</v>
      </c>
      <c r="I43" s="27">
        <v>2</v>
      </c>
      <c r="J43" s="27">
        <v>2</v>
      </c>
      <c r="K43" s="27">
        <v>2</v>
      </c>
      <c r="L43" s="27">
        <v>2</v>
      </c>
      <c r="M43" s="27">
        <v>2</v>
      </c>
      <c r="N43" s="27">
        <v>2</v>
      </c>
      <c r="O43" s="27">
        <v>2</v>
      </c>
      <c r="P43" s="3">
        <v>0</v>
      </c>
      <c r="Q43" s="28">
        <v>0</v>
      </c>
      <c r="R43" s="28">
        <v>0</v>
      </c>
      <c r="S43" s="28">
        <v>0</v>
      </c>
      <c r="T43" s="28">
        <v>0</v>
      </c>
      <c r="U43" s="28">
        <v>0</v>
      </c>
    </row>
    <row r="44" spans="1:21" x14ac:dyDescent="0.2">
      <c r="A44" s="45"/>
      <c r="B44" s="45"/>
      <c r="C44" s="31" t="s">
        <v>115</v>
      </c>
      <c r="D44" s="32"/>
      <c r="E44" s="29" t="s">
        <v>146</v>
      </c>
      <c r="F44" s="30"/>
      <c r="G44" s="27">
        <f>H44+P44</f>
        <v>2</v>
      </c>
      <c r="H44" s="27">
        <v>2</v>
      </c>
      <c r="I44" s="27">
        <v>2</v>
      </c>
      <c r="J44" s="27">
        <v>2</v>
      </c>
      <c r="K44" s="27">
        <v>2</v>
      </c>
      <c r="L44" s="27">
        <v>2</v>
      </c>
      <c r="M44" s="27">
        <v>2</v>
      </c>
      <c r="N44" s="27">
        <v>2</v>
      </c>
      <c r="O44" s="27">
        <v>2</v>
      </c>
      <c r="P44" s="3">
        <v>0</v>
      </c>
      <c r="Q44" s="28">
        <v>0</v>
      </c>
      <c r="R44" s="28">
        <v>0</v>
      </c>
      <c r="S44" s="28">
        <v>0</v>
      </c>
      <c r="T44" s="28">
        <v>0</v>
      </c>
      <c r="U44" s="28">
        <v>0</v>
      </c>
    </row>
    <row r="45" spans="1:21" x14ac:dyDescent="0.2">
      <c r="A45" s="45"/>
      <c r="B45" s="45"/>
      <c r="C45" s="31" t="s">
        <v>27</v>
      </c>
      <c r="D45" s="32"/>
      <c r="E45" s="43" t="s">
        <v>178</v>
      </c>
      <c r="F45" s="44"/>
      <c r="G45" s="27">
        <f>H45+Q45</f>
        <v>4</v>
      </c>
      <c r="H45" s="27">
        <v>4</v>
      </c>
      <c r="I45" s="27">
        <v>4</v>
      </c>
      <c r="J45" s="27">
        <v>4</v>
      </c>
      <c r="K45" s="27">
        <v>4</v>
      </c>
      <c r="L45" s="27">
        <v>4</v>
      </c>
      <c r="M45" s="27">
        <v>4</v>
      </c>
      <c r="N45" s="27">
        <v>4</v>
      </c>
      <c r="O45" s="27">
        <v>4</v>
      </c>
      <c r="P45" s="27">
        <v>4</v>
      </c>
      <c r="Q45" s="3">
        <v>0</v>
      </c>
      <c r="R45" s="28">
        <v>0</v>
      </c>
      <c r="S45" s="28">
        <v>0</v>
      </c>
      <c r="T45" s="28">
        <v>0</v>
      </c>
      <c r="U45" s="28">
        <v>0</v>
      </c>
    </row>
    <row r="46" spans="1:21" x14ac:dyDescent="0.2">
      <c r="A46" s="45"/>
      <c r="B46" s="41" t="s">
        <v>28</v>
      </c>
      <c r="C46" s="31" t="s">
        <v>228</v>
      </c>
      <c r="D46" s="32"/>
      <c r="E46" s="29" t="s">
        <v>146</v>
      </c>
      <c r="F46" s="30"/>
      <c r="G46" s="27">
        <f t="shared" ref="G46:G47" si="1">H46+Q46</f>
        <v>2</v>
      </c>
      <c r="H46" s="27">
        <v>2</v>
      </c>
      <c r="I46" s="27">
        <v>2</v>
      </c>
      <c r="J46" s="27">
        <v>2</v>
      </c>
      <c r="K46" s="27">
        <v>2</v>
      </c>
      <c r="L46" s="27">
        <v>2</v>
      </c>
      <c r="M46" s="27">
        <v>2</v>
      </c>
      <c r="N46" s="27">
        <v>2</v>
      </c>
      <c r="O46" s="27">
        <v>2</v>
      </c>
      <c r="P46" s="27">
        <v>2</v>
      </c>
      <c r="Q46" s="3">
        <v>0</v>
      </c>
      <c r="R46" s="28">
        <v>0</v>
      </c>
      <c r="S46" s="28">
        <v>0</v>
      </c>
      <c r="T46" s="28">
        <v>0</v>
      </c>
      <c r="U46" s="28">
        <v>0</v>
      </c>
    </row>
    <row r="47" spans="1:21" x14ac:dyDescent="0.2">
      <c r="A47" s="45"/>
      <c r="B47" s="45"/>
      <c r="C47" s="31" t="s">
        <v>229</v>
      </c>
      <c r="D47" s="32"/>
      <c r="E47" s="29" t="s">
        <v>149</v>
      </c>
      <c r="F47" s="30"/>
      <c r="G47" s="27">
        <f t="shared" si="1"/>
        <v>2</v>
      </c>
      <c r="H47" s="27">
        <v>2</v>
      </c>
      <c r="I47" s="27">
        <v>2</v>
      </c>
      <c r="J47" s="27">
        <v>2</v>
      </c>
      <c r="K47" s="27">
        <v>2</v>
      </c>
      <c r="L47" s="27">
        <v>2</v>
      </c>
      <c r="M47" s="27">
        <v>2</v>
      </c>
      <c r="N47" s="27">
        <v>2</v>
      </c>
      <c r="O47" s="27">
        <v>2</v>
      </c>
      <c r="P47" s="27">
        <v>2</v>
      </c>
      <c r="Q47" s="3">
        <v>0</v>
      </c>
      <c r="R47" s="28">
        <v>0</v>
      </c>
      <c r="S47" s="28">
        <v>0</v>
      </c>
      <c r="T47" s="28">
        <v>0</v>
      </c>
      <c r="U47" s="28">
        <v>0</v>
      </c>
    </row>
    <row r="48" spans="1:21" x14ac:dyDescent="0.2">
      <c r="A48" s="45"/>
      <c r="B48" s="45"/>
      <c r="C48" s="31" t="s">
        <v>230</v>
      </c>
      <c r="D48" s="32"/>
      <c r="E48" s="29" t="s">
        <v>148</v>
      </c>
      <c r="F48" s="30"/>
      <c r="G48" s="27">
        <f>H48+Q49</f>
        <v>3</v>
      </c>
      <c r="H48" s="27">
        <v>2</v>
      </c>
      <c r="I48" s="27">
        <v>2</v>
      </c>
      <c r="J48" s="27">
        <v>2</v>
      </c>
      <c r="K48" s="27">
        <v>2</v>
      </c>
      <c r="L48" s="27">
        <v>2</v>
      </c>
      <c r="M48" s="27">
        <v>2</v>
      </c>
      <c r="N48" s="27">
        <v>2</v>
      </c>
      <c r="O48" s="27">
        <v>2</v>
      </c>
      <c r="P48" s="27">
        <v>2</v>
      </c>
      <c r="Q48" s="3">
        <v>0</v>
      </c>
      <c r="R48" s="28">
        <v>0</v>
      </c>
      <c r="S48" s="28">
        <v>0</v>
      </c>
      <c r="T48" s="28">
        <v>0</v>
      </c>
      <c r="U48" s="28">
        <v>0</v>
      </c>
    </row>
    <row r="49" spans="1:21" x14ac:dyDescent="0.2">
      <c r="A49" s="45"/>
      <c r="B49" s="45"/>
      <c r="C49" s="29"/>
      <c r="D49" s="30"/>
      <c r="E49" s="29"/>
      <c r="F49" s="30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4">
        <v>1</v>
      </c>
      <c r="R49" s="28"/>
      <c r="S49" s="28"/>
      <c r="T49" s="28"/>
      <c r="U49" s="28"/>
    </row>
    <row r="50" spans="1:21" x14ac:dyDescent="0.2">
      <c r="A50" s="45"/>
      <c r="B50" s="45"/>
      <c r="C50" s="31" t="s">
        <v>231</v>
      </c>
      <c r="D50" s="32"/>
      <c r="E50" s="29" t="s">
        <v>147</v>
      </c>
      <c r="F50" s="30"/>
      <c r="G50" s="27">
        <f>H50+Q50</f>
        <v>2</v>
      </c>
      <c r="H50" s="27">
        <v>2</v>
      </c>
      <c r="I50" s="27">
        <v>2</v>
      </c>
      <c r="J50" s="27">
        <v>2</v>
      </c>
      <c r="K50" s="27">
        <v>2</v>
      </c>
      <c r="L50" s="27">
        <v>2</v>
      </c>
      <c r="M50" s="27">
        <v>2</v>
      </c>
      <c r="N50" s="27">
        <v>2</v>
      </c>
      <c r="O50" s="27">
        <v>2</v>
      </c>
      <c r="P50" s="27">
        <v>2</v>
      </c>
      <c r="Q50" s="3">
        <v>0</v>
      </c>
      <c r="R50" s="28">
        <v>0</v>
      </c>
      <c r="S50" s="28">
        <v>0</v>
      </c>
      <c r="T50" s="28">
        <v>0</v>
      </c>
      <c r="U50" s="28">
        <v>0</v>
      </c>
    </row>
    <row r="51" spans="1:21" x14ac:dyDescent="0.2">
      <c r="A51" s="45"/>
      <c r="B51" s="45"/>
      <c r="C51" s="31" t="s">
        <v>127</v>
      </c>
      <c r="D51" s="32"/>
      <c r="E51" s="29" t="s">
        <v>145</v>
      </c>
      <c r="F51" s="30"/>
      <c r="G51" s="27">
        <f>H51+Q51</f>
        <v>2</v>
      </c>
      <c r="H51" s="27">
        <v>2</v>
      </c>
      <c r="I51" s="27">
        <v>2</v>
      </c>
      <c r="J51" s="27">
        <v>2</v>
      </c>
      <c r="K51" s="27">
        <v>2</v>
      </c>
      <c r="L51" s="27">
        <v>2</v>
      </c>
      <c r="M51" s="27">
        <v>2</v>
      </c>
      <c r="N51" s="27">
        <v>2</v>
      </c>
      <c r="O51" s="27">
        <v>2</v>
      </c>
      <c r="P51" s="27">
        <v>2</v>
      </c>
      <c r="Q51" s="3">
        <v>0</v>
      </c>
      <c r="R51" s="28">
        <v>0</v>
      </c>
      <c r="S51" s="28">
        <v>0</v>
      </c>
      <c r="T51" s="28">
        <v>0</v>
      </c>
      <c r="U51" s="28">
        <v>0</v>
      </c>
    </row>
    <row r="52" spans="1:21" x14ac:dyDescent="0.2">
      <c r="A52" s="45"/>
      <c r="B52" s="41" t="s">
        <v>29</v>
      </c>
      <c r="C52" s="31" t="s">
        <v>232</v>
      </c>
      <c r="D52" s="32"/>
      <c r="E52" s="29" t="s">
        <v>149</v>
      </c>
      <c r="F52" s="30"/>
      <c r="G52" s="27">
        <f>H52+R52</f>
        <v>2</v>
      </c>
      <c r="H52" s="27">
        <v>2</v>
      </c>
      <c r="I52" s="27">
        <v>2</v>
      </c>
      <c r="J52" s="27">
        <v>2</v>
      </c>
      <c r="K52" s="27">
        <v>2</v>
      </c>
      <c r="L52" s="27">
        <v>2</v>
      </c>
      <c r="M52" s="27">
        <v>2</v>
      </c>
      <c r="N52" s="27">
        <v>2</v>
      </c>
      <c r="O52" s="27">
        <v>2</v>
      </c>
      <c r="P52" s="27">
        <v>2</v>
      </c>
      <c r="Q52" s="27">
        <v>2</v>
      </c>
      <c r="R52" s="3">
        <v>0</v>
      </c>
      <c r="S52" s="28">
        <v>0</v>
      </c>
      <c r="T52" s="28">
        <v>0</v>
      </c>
      <c r="U52" s="28">
        <v>0</v>
      </c>
    </row>
    <row r="53" spans="1:21" x14ac:dyDescent="0.2">
      <c r="A53" s="45"/>
      <c r="B53" s="45"/>
      <c r="C53" s="31" t="s">
        <v>233</v>
      </c>
      <c r="D53" s="32"/>
      <c r="E53" s="29" t="s">
        <v>148</v>
      </c>
      <c r="F53" s="30"/>
      <c r="G53" s="27">
        <f t="shared" ref="G53:G56" si="2">H53+R53</f>
        <v>2</v>
      </c>
      <c r="H53" s="27">
        <v>2</v>
      </c>
      <c r="I53" s="27">
        <v>2</v>
      </c>
      <c r="J53" s="27">
        <v>2</v>
      </c>
      <c r="K53" s="27">
        <v>2</v>
      </c>
      <c r="L53" s="27">
        <v>2</v>
      </c>
      <c r="M53" s="27">
        <v>2</v>
      </c>
      <c r="N53" s="27">
        <v>2</v>
      </c>
      <c r="O53" s="27">
        <v>2</v>
      </c>
      <c r="P53" s="27">
        <v>2</v>
      </c>
      <c r="Q53" s="27">
        <v>2</v>
      </c>
      <c r="R53" s="3">
        <v>0</v>
      </c>
      <c r="S53" s="28">
        <v>0</v>
      </c>
      <c r="T53" s="28">
        <v>0</v>
      </c>
      <c r="U53" s="28">
        <v>0</v>
      </c>
    </row>
    <row r="54" spans="1:21" x14ac:dyDescent="0.2">
      <c r="A54" s="45"/>
      <c r="B54" s="45"/>
      <c r="C54" s="31" t="s">
        <v>234</v>
      </c>
      <c r="D54" s="32"/>
      <c r="E54" s="29" t="s">
        <v>147</v>
      </c>
      <c r="F54" s="30"/>
      <c r="G54" s="27">
        <f t="shared" si="2"/>
        <v>2</v>
      </c>
      <c r="H54" s="27">
        <v>2</v>
      </c>
      <c r="I54" s="27">
        <v>2</v>
      </c>
      <c r="J54" s="27">
        <v>2</v>
      </c>
      <c r="K54" s="27">
        <v>2</v>
      </c>
      <c r="L54" s="27">
        <v>2</v>
      </c>
      <c r="M54" s="27">
        <v>2</v>
      </c>
      <c r="N54" s="27">
        <v>2</v>
      </c>
      <c r="O54" s="27">
        <v>2</v>
      </c>
      <c r="P54" s="27">
        <v>2</v>
      </c>
      <c r="Q54" s="27">
        <v>2</v>
      </c>
      <c r="R54" s="3">
        <v>0</v>
      </c>
      <c r="S54" s="28">
        <v>0</v>
      </c>
      <c r="T54" s="28">
        <v>0</v>
      </c>
      <c r="U54" s="28">
        <v>0</v>
      </c>
    </row>
    <row r="55" spans="1:21" x14ac:dyDescent="0.2">
      <c r="A55" s="45"/>
      <c r="B55" s="45"/>
      <c r="C55" s="31" t="s">
        <v>235</v>
      </c>
      <c r="D55" s="32"/>
      <c r="E55" s="29" t="s">
        <v>145</v>
      </c>
      <c r="F55" s="30"/>
      <c r="G55" s="27">
        <f t="shared" si="2"/>
        <v>2</v>
      </c>
      <c r="H55" s="27">
        <v>2</v>
      </c>
      <c r="I55" s="27">
        <v>2</v>
      </c>
      <c r="J55" s="27">
        <v>2</v>
      </c>
      <c r="K55" s="27">
        <v>2</v>
      </c>
      <c r="L55" s="27">
        <v>2</v>
      </c>
      <c r="M55" s="27">
        <v>2</v>
      </c>
      <c r="N55" s="27">
        <v>2</v>
      </c>
      <c r="O55" s="27">
        <v>2</v>
      </c>
      <c r="P55" s="27">
        <v>2</v>
      </c>
      <c r="Q55" s="27">
        <v>2</v>
      </c>
      <c r="R55" s="3">
        <v>0</v>
      </c>
      <c r="S55" s="28">
        <v>0</v>
      </c>
      <c r="T55" s="28">
        <v>0</v>
      </c>
      <c r="U55" s="28">
        <v>0</v>
      </c>
    </row>
    <row r="56" spans="1:21" x14ac:dyDescent="0.2">
      <c r="A56" s="45"/>
      <c r="B56" s="42"/>
      <c r="C56" s="31" t="s">
        <v>126</v>
      </c>
      <c r="D56" s="32"/>
      <c r="E56" s="43" t="s">
        <v>146</v>
      </c>
      <c r="F56" s="44"/>
      <c r="G56" s="27">
        <f t="shared" si="2"/>
        <v>2</v>
      </c>
      <c r="H56" s="27">
        <v>2</v>
      </c>
      <c r="I56" s="27">
        <v>2</v>
      </c>
      <c r="J56" s="27">
        <v>2</v>
      </c>
      <c r="K56" s="27">
        <v>2</v>
      </c>
      <c r="L56" s="27">
        <v>2</v>
      </c>
      <c r="M56" s="27">
        <v>2</v>
      </c>
      <c r="N56" s="27">
        <v>2</v>
      </c>
      <c r="O56" s="27">
        <v>2</v>
      </c>
      <c r="P56" s="27">
        <v>2</v>
      </c>
      <c r="Q56" s="27">
        <v>2</v>
      </c>
      <c r="R56" s="3">
        <v>0</v>
      </c>
      <c r="S56" s="28">
        <v>0</v>
      </c>
      <c r="T56" s="28">
        <v>0</v>
      </c>
      <c r="U56" s="28">
        <v>0</v>
      </c>
    </row>
    <row r="57" spans="1:21" x14ac:dyDescent="0.2">
      <c r="A57" s="45"/>
      <c r="B57" s="41" t="s">
        <v>30</v>
      </c>
      <c r="C57" s="31" t="s">
        <v>179</v>
      </c>
      <c r="D57" s="32"/>
      <c r="E57" s="29" t="s">
        <v>146</v>
      </c>
      <c r="F57" s="30"/>
      <c r="G57" s="27">
        <f>H57+S57</f>
        <v>2</v>
      </c>
      <c r="H57" s="27">
        <v>2</v>
      </c>
      <c r="I57" s="27">
        <v>2</v>
      </c>
      <c r="J57" s="27">
        <v>2</v>
      </c>
      <c r="K57" s="27">
        <v>2</v>
      </c>
      <c r="L57" s="27">
        <v>2</v>
      </c>
      <c r="M57" s="27">
        <v>2</v>
      </c>
      <c r="N57" s="27">
        <v>2</v>
      </c>
      <c r="O57" s="27">
        <v>2</v>
      </c>
      <c r="P57" s="27">
        <v>2</v>
      </c>
      <c r="Q57" s="27">
        <v>2</v>
      </c>
      <c r="R57" s="27">
        <v>2</v>
      </c>
      <c r="S57" s="3">
        <v>0</v>
      </c>
      <c r="T57" s="28">
        <v>0</v>
      </c>
      <c r="U57" s="28">
        <v>0</v>
      </c>
    </row>
    <row r="58" spans="1:21" x14ac:dyDescent="0.2">
      <c r="A58" s="45"/>
      <c r="B58" s="45"/>
      <c r="C58" s="31" t="s">
        <v>236</v>
      </c>
      <c r="D58" s="32"/>
      <c r="E58" s="29" t="s">
        <v>149</v>
      </c>
      <c r="F58" s="30"/>
      <c r="G58" s="27">
        <f t="shared" ref="G58:G61" si="3">H58+S58</f>
        <v>2</v>
      </c>
      <c r="H58" s="27">
        <v>2</v>
      </c>
      <c r="I58" s="27">
        <v>2</v>
      </c>
      <c r="J58" s="27">
        <v>2</v>
      </c>
      <c r="K58" s="27">
        <v>2</v>
      </c>
      <c r="L58" s="27">
        <v>2</v>
      </c>
      <c r="M58" s="27">
        <v>2</v>
      </c>
      <c r="N58" s="27">
        <v>2</v>
      </c>
      <c r="O58" s="27">
        <v>2</v>
      </c>
      <c r="P58" s="27">
        <v>2</v>
      </c>
      <c r="Q58" s="27">
        <v>2</v>
      </c>
      <c r="R58" s="27">
        <v>2</v>
      </c>
      <c r="S58" s="3">
        <v>0</v>
      </c>
      <c r="T58" s="28">
        <v>0</v>
      </c>
      <c r="U58" s="28">
        <v>0</v>
      </c>
    </row>
    <row r="59" spans="1:21" x14ac:dyDescent="0.2">
      <c r="A59" s="45"/>
      <c r="B59" s="45"/>
      <c r="C59" s="31" t="s">
        <v>237</v>
      </c>
      <c r="D59" s="32"/>
      <c r="E59" s="29" t="s">
        <v>148</v>
      </c>
      <c r="F59" s="30"/>
      <c r="G59" s="27">
        <f t="shared" si="3"/>
        <v>2</v>
      </c>
      <c r="H59" s="27">
        <v>2</v>
      </c>
      <c r="I59" s="27">
        <v>2</v>
      </c>
      <c r="J59" s="27">
        <v>2</v>
      </c>
      <c r="K59" s="27">
        <v>2</v>
      </c>
      <c r="L59" s="27">
        <v>2</v>
      </c>
      <c r="M59" s="27">
        <v>2</v>
      </c>
      <c r="N59" s="27">
        <v>2</v>
      </c>
      <c r="O59" s="27">
        <v>2</v>
      </c>
      <c r="P59" s="27">
        <v>2</v>
      </c>
      <c r="Q59" s="27">
        <v>2</v>
      </c>
      <c r="R59" s="27">
        <v>2</v>
      </c>
      <c r="S59" s="3">
        <v>0</v>
      </c>
      <c r="T59" s="28">
        <v>0</v>
      </c>
      <c r="U59" s="28">
        <v>0</v>
      </c>
    </row>
    <row r="60" spans="1:21" x14ac:dyDescent="0.2">
      <c r="A60" s="45"/>
      <c r="B60" s="45"/>
      <c r="C60" s="31" t="s">
        <v>238</v>
      </c>
      <c r="D60" s="32"/>
      <c r="E60" s="29" t="s">
        <v>147</v>
      </c>
      <c r="F60" s="30"/>
      <c r="G60" s="27">
        <f t="shared" si="3"/>
        <v>2</v>
      </c>
      <c r="H60" s="27">
        <v>2</v>
      </c>
      <c r="I60" s="27">
        <v>2</v>
      </c>
      <c r="J60" s="27">
        <v>2</v>
      </c>
      <c r="K60" s="27">
        <v>2</v>
      </c>
      <c r="L60" s="27">
        <v>2</v>
      </c>
      <c r="M60" s="27">
        <v>2</v>
      </c>
      <c r="N60" s="27">
        <v>2</v>
      </c>
      <c r="O60" s="27">
        <v>2</v>
      </c>
      <c r="P60" s="27">
        <v>2</v>
      </c>
      <c r="Q60" s="27">
        <v>2</v>
      </c>
      <c r="R60" s="27">
        <v>2</v>
      </c>
      <c r="S60" s="3">
        <v>0</v>
      </c>
      <c r="T60" s="28">
        <v>0</v>
      </c>
      <c r="U60" s="28">
        <v>0</v>
      </c>
    </row>
    <row r="61" spans="1:21" x14ac:dyDescent="0.2">
      <c r="A61" s="45"/>
      <c r="B61" s="45"/>
      <c r="C61" s="31" t="s">
        <v>239</v>
      </c>
      <c r="D61" s="32"/>
      <c r="E61" s="43" t="s">
        <v>145</v>
      </c>
      <c r="F61" s="44"/>
      <c r="G61" s="27">
        <f t="shared" si="3"/>
        <v>2</v>
      </c>
      <c r="H61" s="27">
        <v>2</v>
      </c>
      <c r="I61" s="27">
        <v>2</v>
      </c>
      <c r="J61" s="27">
        <v>2</v>
      </c>
      <c r="K61" s="27">
        <v>2</v>
      </c>
      <c r="L61" s="27">
        <v>2</v>
      </c>
      <c r="M61" s="27">
        <v>2</v>
      </c>
      <c r="N61" s="27">
        <v>2</v>
      </c>
      <c r="O61" s="27">
        <v>2</v>
      </c>
      <c r="P61" s="27">
        <v>2</v>
      </c>
      <c r="Q61" s="27">
        <v>2</v>
      </c>
      <c r="R61" s="27">
        <v>2</v>
      </c>
      <c r="S61" s="3">
        <v>0</v>
      </c>
      <c r="T61" s="28">
        <v>0</v>
      </c>
      <c r="U61" s="28">
        <v>0</v>
      </c>
    </row>
    <row r="62" spans="1:21" x14ac:dyDescent="0.2">
      <c r="A62" s="45"/>
      <c r="B62" s="41" t="s">
        <v>31</v>
      </c>
      <c r="C62" s="31" t="s">
        <v>32</v>
      </c>
      <c r="D62" s="32"/>
      <c r="E62" s="43" t="s">
        <v>19</v>
      </c>
      <c r="F62" s="44"/>
      <c r="G62" s="27">
        <f>H62+T62</f>
        <v>10</v>
      </c>
      <c r="H62" s="27">
        <v>10</v>
      </c>
      <c r="I62" s="27">
        <v>10</v>
      </c>
      <c r="J62" s="27">
        <v>10</v>
      </c>
      <c r="K62" s="27">
        <v>10</v>
      </c>
      <c r="L62" s="27">
        <v>10</v>
      </c>
      <c r="M62" s="27">
        <v>10</v>
      </c>
      <c r="N62" s="27">
        <v>10</v>
      </c>
      <c r="O62" s="27">
        <v>10</v>
      </c>
      <c r="P62" s="27">
        <v>10</v>
      </c>
      <c r="Q62" s="27">
        <v>10</v>
      </c>
      <c r="R62" s="27">
        <v>10</v>
      </c>
      <c r="S62" s="27">
        <v>10</v>
      </c>
      <c r="T62" s="3">
        <v>0</v>
      </c>
      <c r="U62" s="28">
        <v>0</v>
      </c>
    </row>
    <row r="63" spans="1:21" x14ac:dyDescent="0.2">
      <c r="A63" s="45"/>
      <c r="B63" s="42"/>
      <c r="C63" s="31" t="s">
        <v>33</v>
      </c>
      <c r="D63" s="32"/>
      <c r="E63" s="43" t="s">
        <v>19</v>
      </c>
      <c r="F63" s="44"/>
      <c r="G63" s="27">
        <f>H63+U63</f>
        <v>10</v>
      </c>
      <c r="H63" s="27">
        <v>10</v>
      </c>
      <c r="I63" s="27">
        <v>10</v>
      </c>
      <c r="J63" s="27">
        <v>10</v>
      </c>
      <c r="K63" s="27">
        <v>10</v>
      </c>
      <c r="L63" s="27">
        <v>10</v>
      </c>
      <c r="M63" s="27">
        <v>10</v>
      </c>
      <c r="N63" s="27">
        <v>10</v>
      </c>
      <c r="O63" s="27">
        <v>10</v>
      </c>
      <c r="P63" s="27">
        <v>10</v>
      </c>
      <c r="Q63" s="27">
        <v>10</v>
      </c>
      <c r="R63" s="27">
        <v>10</v>
      </c>
      <c r="S63" s="27">
        <v>10</v>
      </c>
      <c r="T63" s="27">
        <v>10</v>
      </c>
      <c r="U63" s="3">
        <v>0</v>
      </c>
    </row>
    <row r="64" spans="1:21" x14ac:dyDescent="0.2">
      <c r="A64" s="45"/>
      <c r="B64" s="35" t="s">
        <v>13</v>
      </c>
      <c r="C64" s="36"/>
      <c r="D64" s="37"/>
      <c r="E64" s="33" t="s">
        <v>11</v>
      </c>
      <c r="F64" s="34"/>
      <c r="G64" s="47">
        <f>SUM(G16:G63)</f>
        <v>137</v>
      </c>
      <c r="H64" s="47"/>
      <c r="I64" s="9">
        <f>SUM(I16:I63)</f>
        <v>124</v>
      </c>
      <c r="J64" s="9">
        <f>SUM(J16:J63)</f>
        <v>114</v>
      </c>
      <c r="K64" s="9">
        <f>SUM(K16:K63)+K22</f>
        <v>106</v>
      </c>
      <c r="L64" s="9">
        <f>SUM(L16:L63)</f>
        <v>94</v>
      </c>
      <c r="M64" s="9">
        <f>SUM(M16:M63)+M29</f>
        <v>86</v>
      </c>
      <c r="N64" s="9">
        <f>SUM(N16:N63)+N33</f>
        <v>72</v>
      </c>
      <c r="O64" s="9">
        <f>SUM(O16:O63)</f>
        <v>64</v>
      </c>
      <c r="P64" s="9">
        <f>SUM(P16:P63)+P42</f>
        <v>56</v>
      </c>
      <c r="Q64" s="9">
        <f>SUM(Q16:Q63)+Q49</f>
        <v>42</v>
      </c>
      <c r="R64" s="9">
        <f>SUM(R16:R63)</f>
        <v>30</v>
      </c>
      <c r="S64" s="9">
        <f>SUM(S16:S63)</f>
        <v>20</v>
      </c>
      <c r="T64" s="9">
        <f>SUM(T16:T63)</f>
        <v>10</v>
      </c>
      <c r="U64" s="9">
        <f>SUM(U16:U63)</f>
        <v>0</v>
      </c>
    </row>
    <row r="65" spans="1:22" x14ac:dyDescent="0.2">
      <c r="A65" s="42"/>
      <c r="B65" s="38"/>
      <c r="C65" s="39"/>
      <c r="D65" s="40"/>
      <c r="E65" s="33" t="s">
        <v>12</v>
      </c>
      <c r="F65" s="34"/>
      <c r="G65" s="47">
        <f>SUM(H16:H63)</f>
        <v>134</v>
      </c>
      <c r="H65" s="47"/>
      <c r="I65" s="9">
        <f t="shared" ref="I65:U65" si="4">SUM(I16:I63)</f>
        <v>124</v>
      </c>
      <c r="J65" s="9">
        <f t="shared" si="4"/>
        <v>114</v>
      </c>
      <c r="K65" s="9">
        <f t="shared" si="4"/>
        <v>105</v>
      </c>
      <c r="L65" s="9">
        <f t="shared" si="4"/>
        <v>94</v>
      </c>
      <c r="M65" s="9">
        <f t="shared" si="4"/>
        <v>85</v>
      </c>
      <c r="N65" s="9">
        <f t="shared" si="4"/>
        <v>73</v>
      </c>
      <c r="O65" s="9">
        <f t="shared" si="4"/>
        <v>64</v>
      </c>
      <c r="P65" s="9">
        <f t="shared" si="4"/>
        <v>55</v>
      </c>
      <c r="Q65" s="9">
        <f t="shared" si="4"/>
        <v>41</v>
      </c>
      <c r="R65" s="9">
        <f t="shared" si="4"/>
        <v>30</v>
      </c>
      <c r="S65" s="9">
        <f t="shared" si="4"/>
        <v>20</v>
      </c>
      <c r="T65" s="9">
        <f t="shared" si="4"/>
        <v>10</v>
      </c>
      <c r="U65" s="9">
        <f t="shared" si="4"/>
        <v>0</v>
      </c>
    </row>
    <row r="68" spans="1:22" x14ac:dyDescent="0.25"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</row>
    <row r="69" spans="1:22" x14ac:dyDescent="0.25"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</row>
    <row r="70" spans="1:22" x14ac:dyDescent="0.25"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</row>
    <row r="71" spans="1:22" x14ac:dyDescent="0.25"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</row>
    <row r="72" spans="1:22" x14ac:dyDescent="0.25"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</row>
    <row r="73" spans="1:22" x14ac:dyDescent="0.25"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</row>
    <row r="74" spans="1:22" x14ac:dyDescent="0.25"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</row>
    <row r="75" spans="1:22" x14ac:dyDescent="0.25"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</row>
    <row r="76" spans="1:22" x14ac:dyDescent="0.25"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</row>
    <row r="77" spans="1:22" x14ac:dyDescent="0.25"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</row>
    <row r="78" spans="1:22" x14ac:dyDescent="0.25"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</row>
    <row r="79" spans="1:22" x14ac:dyDescent="0.25"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</row>
    <row r="80" spans="1:22" x14ac:dyDescent="0.25"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</row>
    <row r="81" spans="3:22" x14ac:dyDescent="0.25"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</row>
    <row r="82" spans="3:22" x14ac:dyDescent="0.25"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</row>
    <row r="83" spans="3:22" x14ac:dyDescent="0.25"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</row>
    <row r="84" spans="3:22" x14ac:dyDescent="0.25"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</row>
    <row r="85" spans="3:22" x14ac:dyDescent="0.25"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</row>
    <row r="86" spans="3:22" x14ac:dyDescent="0.25"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</row>
    <row r="87" spans="3:22" x14ac:dyDescent="0.25"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</row>
    <row r="88" spans="3:22" x14ac:dyDescent="0.25"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</row>
    <row r="89" spans="3:22" x14ac:dyDescent="0.25"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</row>
    <row r="90" spans="3:22" x14ac:dyDescent="0.25"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</row>
    <row r="91" spans="3:22" x14ac:dyDescent="0.25"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</row>
    <row r="92" spans="3:22" x14ac:dyDescent="0.25"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</row>
    <row r="93" spans="3:22" x14ac:dyDescent="0.25"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</row>
    <row r="94" spans="3:22" x14ac:dyDescent="0.25"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</row>
    <row r="95" spans="3:22" x14ac:dyDescent="0.25"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</row>
    <row r="96" spans="3:22" x14ac:dyDescent="0.25"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</row>
    <row r="97" spans="3:22" x14ac:dyDescent="0.25"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</row>
    <row r="98" spans="3:22" x14ac:dyDescent="0.25"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</row>
    <row r="99" spans="3:22" x14ac:dyDescent="0.25"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</row>
    <row r="100" spans="3:22" x14ac:dyDescent="0.25"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</row>
    <row r="101" spans="3:22" x14ac:dyDescent="0.25"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</row>
    <row r="102" spans="3:22" x14ac:dyDescent="0.25"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</row>
    <row r="103" spans="3:22" x14ac:dyDescent="0.25"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</row>
  </sheetData>
  <mergeCells count="124">
    <mergeCell ref="A16:A65"/>
    <mergeCell ref="B26:B33"/>
    <mergeCell ref="C33:D33"/>
    <mergeCell ref="E33:F33"/>
    <mergeCell ref="C46:D46"/>
    <mergeCell ref="E46:F46"/>
    <mergeCell ref="C50:D50"/>
    <mergeCell ref="C47:D47"/>
    <mergeCell ref="A1:B1"/>
    <mergeCell ref="A2:B2"/>
    <mergeCell ref="A3:B3"/>
    <mergeCell ref="A4:B4"/>
    <mergeCell ref="B6:E6"/>
    <mergeCell ref="B13:C13"/>
    <mergeCell ref="C1:G1"/>
    <mergeCell ref="E47:F47"/>
    <mergeCell ref="C15:D15"/>
    <mergeCell ref="E15:F15"/>
    <mergeCell ref="B16:D16"/>
    <mergeCell ref="E16:F16"/>
    <mergeCell ref="B17:D17"/>
    <mergeCell ref="E17:F17"/>
    <mergeCell ref="B18:D18"/>
    <mergeCell ref="C23:D23"/>
    <mergeCell ref="E25:F25"/>
    <mergeCell ref="C22:D22"/>
    <mergeCell ref="E22:F22"/>
    <mergeCell ref="C29:D29"/>
    <mergeCell ref="C49:D49"/>
    <mergeCell ref="E49:F49"/>
    <mergeCell ref="C60:D60"/>
    <mergeCell ref="E60:F60"/>
    <mergeCell ref="B52:B56"/>
    <mergeCell ref="C30:D30"/>
    <mergeCell ref="E27:F27"/>
    <mergeCell ref="C31:D31"/>
    <mergeCell ref="E31:F31"/>
    <mergeCell ref="C43:D43"/>
    <mergeCell ref="C26:D26"/>
    <mergeCell ref="E26:F26"/>
    <mergeCell ref="C28:D28"/>
    <mergeCell ref="E28:F28"/>
    <mergeCell ref="B46:B51"/>
    <mergeCell ref="B19:B25"/>
    <mergeCell ref="B34:B45"/>
    <mergeCell ref="E50:F50"/>
    <mergeCell ref="C51:D51"/>
    <mergeCell ref="E51:F51"/>
    <mergeCell ref="C19:D19"/>
    <mergeCell ref="E19:F19"/>
    <mergeCell ref="C20:D20"/>
    <mergeCell ref="E20:F20"/>
    <mergeCell ref="C21:D21"/>
    <mergeCell ref="C24:D24"/>
    <mergeCell ref="E24:F24"/>
    <mergeCell ref="E23:F23"/>
    <mergeCell ref="E21:F21"/>
    <mergeCell ref="G65:H65"/>
    <mergeCell ref="C2:G2"/>
    <mergeCell ref="C3:G3"/>
    <mergeCell ref="C4:G4"/>
    <mergeCell ref="C27:D27"/>
    <mergeCell ref="C62:D62"/>
    <mergeCell ref="E62:F62"/>
    <mergeCell ref="C63:D63"/>
    <mergeCell ref="E63:F63"/>
    <mergeCell ref="C57:D57"/>
    <mergeCell ref="E57:F57"/>
    <mergeCell ref="C48:D48"/>
    <mergeCell ref="E30:F30"/>
    <mergeCell ref="C34:D34"/>
    <mergeCell ref="C35:D35"/>
    <mergeCell ref="C36:D36"/>
    <mergeCell ref="E29:F29"/>
    <mergeCell ref="C25:D25"/>
    <mergeCell ref="E58:F58"/>
    <mergeCell ref="C37:D37"/>
    <mergeCell ref="E34:F34"/>
    <mergeCell ref="E35:F35"/>
    <mergeCell ref="C61:D61"/>
    <mergeCell ref="C59:D59"/>
    <mergeCell ref="K3:M3"/>
    <mergeCell ref="K4:M4"/>
    <mergeCell ref="K5:M5"/>
    <mergeCell ref="G64:H64"/>
    <mergeCell ref="E55:F55"/>
    <mergeCell ref="C55:D55"/>
    <mergeCell ref="C40:D40"/>
    <mergeCell ref="C45:D45"/>
    <mergeCell ref="E45:F45"/>
    <mergeCell ref="C32:D32"/>
    <mergeCell ref="E32:F32"/>
    <mergeCell ref="C39:D39"/>
    <mergeCell ref="E39:F39"/>
    <mergeCell ref="C42:D42"/>
    <mergeCell ref="E43:F43"/>
    <mergeCell ref="C41:D41"/>
    <mergeCell ref="C58:D58"/>
    <mergeCell ref="E42:F42"/>
    <mergeCell ref="E36:F36"/>
    <mergeCell ref="E37:F37"/>
    <mergeCell ref="E18:F18"/>
    <mergeCell ref="E41:F41"/>
    <mergeCell ref="E59:F59"/>
    <mergeCell ref="C38:D38"/>
    <mergeCell ref="E65:F65"/>
    <mergeCell ref="E64:F64"/>
    <mergeCell ref="B64:D65"/>
    <mergeCell ref="C53:D53"/>
    <mergeCell ref="C54:D54"/>
    <mergeCell ref="B62:B63"/>
    <mergeCell ref="C56:D56"/>
    <mergeCell ref="E56:F56"/>
    <mergeCell ref="B57:B61"/>
    <mergeCell ref="E61:F61"/>
    <mergeCell ref="E48:F48"/>
    <mergeCell ref="E53:F53"/>
    <mergeCell ref="E54:F54"/>
    <mergeCell ref="C52:D52"/>
    <mergeCell ref="E52:F52"/>
    <mergeCell ref="E44:F44"/>
    <mergeCell ref="E38:F38"/>
    <mergeCell ref="E40:F40"/>
    <mergeCell ref="C44:D44"/>
  </mergeCells>
  <pageMargins left="0.70866141732283472" right="0.70866141732283472" top="0.74803149606299213" bottom="0.74803149606299213" header="0.31496062992125984" footer="0.31496062992125984"/>
  <pageSetup paperSize="8"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AN136"/>
  <sheetViews>
    <sheetView topLeftCell="A39" zoomScale="40" zoomScaleNormal="40" workbookViewId="0">
      <selection activeCell="K81" sqref="K81"/>
    </sheetView>
  </sheetViews>
  <sheetFormatPr defaultColWidth="8.875" defaultRowHeight="16.5" x14ac:dyDescent="0.2"/>
  <cols>
    <col min="1" max="1" width="12" style="2" customWidth="1"/>
    <col min="2" max="2" width="17.25" style="2" customWidth="1"/>
    <col min="3" max="3" width="41" style="2" customWidth="1"/>
    <col min="4" max="4" width="20.25" style="2" customWidth="1"/>
    <col min="5" max="5" width="11.75" style="1" customWidth="1"/>
    <col min="6" max="6" width="8.875" style="1"/>
    <col min="7" max="8" width="8.875" style="2"/>
    <col min="9" max="27" width="6.375" style="2" customWidth="1"/>
    <col min="28" max="16384" width="8.875" style="2"/>
  </cols>
  <sheetData>
    <row r="1" spans="1:33" ht="27" customHeight="1" x14ac:dyDescent="0.2">
      <c r="A1" s="68" t="s">
        <v>0</v>
      </c>
      <c r="B1" s="68"/>
      <c r="C1" s="48" t="s">
        <v>34</v>
      </c>
      <c r="D1" s="50"/>
      <c r="E1" s="50"/>
      <c r="F1" s="50"/>
      <c r="G1" s="49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x14ac:dyDescent="0.2">
      <c r="A2" s="68" t="s">
        <v>2</v>
      </c>
      <c r="B2" s="68"/>
      <c r="C2" s="48" t="s">
        <v>50</v>
      </c>
      <c r="D2" s="50"/>
      <c r="E2" s="50"/>
      <c r="F2" s="50"/>
      <c r="G2" s="49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x14ac:dyDescent="0.2">
      <c r="A3" s="68" t="s">
        <v>5</v>
      </c>
      <c r="B3" s="68"/>
      <c r="C3" s="51">
        <v>46112</v>
      </c>
      <c r="D3" s="52"/>
      <c r="E3" s="52"/>
      <c r="F3" s="52"/>
      <c r="G3" s="53"/>
      <c r="I3" s="1"/>
      <c r="J3" s="3"/>
      <c r="K3" s="46" t="s">
        <v>1</v>
      </c>
      <c r="L3" s="46"/>
      <c r="M3" s="46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x14ac:dyDescent="0.2">
      <c r="A4" s="68" t="s">
        <v>7</v>
      </c>
      <c r="B4" s="68"/>
      <c r="C4" s="51">
        <v>46130</v>
      </c>
      <c r="D4" s="52"/>
      <c r="E4" s="52"/>
      <c r="F4" s="52"/>
      <c r="G4" s="53"/>
      <c r="H4" s="1"/>
      <c r="I4" s="1"/>
      <c r="J4" s="4"/>
      <c r="K4" s="46" t="s">
        <v>4</v>
      </c>
      <c r="L4" s="46"/>
      <c r="M4" s="46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x14ac:dyDescent="0.2">
      <c r="A5" s="1"/>
      <c r="B5" s="1"/>
      <c r="C5" s="1"/>
      <c r="D5" s="1"/>
      <c r="G5" s="1"/>
      <c r="H5" s="1"/>
      <c r="I5" s="1"/>
      <c r="J5" s="5"/>
      <c r="K5" s="46" t="s">
        <v>6</v>
      </c>
      <c r="L5" s="46"/>
      <c r="M5" s="46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x14ac:dyDescent="0.2">
      <c r="A6" s="1"/>
      <c r="B6" s="58" t="s">
        <v>49</v>
      </c>
      <c r="C6" s="58"/>
      <c r="D6" s="58"/>
      <c r="E6" s="58"/>
      <c r="G6" s="1"/>
      <c r="H6" s="1"/>
      <c r="I6" s="1"/>
      <c r="J6" s="1"/>
      <c r="K6" s="1"/>
      <c r="L6" s="1"/>
      <c r="M6" s="1"/>
      <c r="N6" s="1"/>
      <c r="O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x14ac:dyDescent="0.2">
      <c r="A7" s="1"/>
      <c r="B7" s="22" t="s">
        <v>9</v>
      </c>
      <c r="C7" s="22" t="s">
        <v>10</v>
      </c>
      <c r="D7" s="22" t="s">
        <v>11</v>
      </c>
      <c r="E7" s="22" t="s">
        <v>12</v>
      </c>
      <c r="G7" s="1"/>
      <c r="H7" s="1"/>
      <c r="I7" s="1"/>
      <c r="J7" s="1"/>
      <c r="K7" s="1"/>
      <c r="L7" s="1"/>
      <c r="M7" s="1"/>
      <c r="N7" s="1"/>
      <c r="O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x14ac:dyDescent="0.2">
      <c r="A8" s="1"/>
      <c r="B8" s="9">
        <v>1</v>
      </c>
      <c r="C8" s="8" t="s">
        <v>35</v>
      </c>
      <c r="D8" s="9">
        <f ca="1">SUMIF(E15:F104,"Cường",G15:G104)+SUMIF(E15:F104,"Vy, Thi, Cường",G15:G104)/3+SUMIF(E15:F104,"All team",G15:G104)/5</f>
        <v>39.799999999999997</v>
      </c>
      <c r="E8" s="9">
        <f ca="1">SUMIF(E15:F104,"Cường",H15:H104)+SUMIF(E15:F104,"Vy, Thi, Cường",H15:H104)/3+SUMIF(E15:F104,"All team",H15:H104)/5+SUMIF(E15:F104,"Cường, Ly",H15:H104)/2</f>
        <v>40</v>
      </c>
      <c r="G8" s="1"/>
      <c r="H8" s="1"/>
      <c r="I8" s="1"/>
      <c r="J8" s="1"/>
      <c r="K8" s="1"/>
      <c r="L8" s="1"/>
      <c r="M8" s="1"/>
      <c r="N8" s="1"/>
      <c r="O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x14ac:dyDescent="0.2">
      <c r="A9" s="1"/>
      <c r="B9" s="9">
        <v>2</v>
      </c>
      <c r="C9" s="8" t="s">
        <v>36</v>
      </c>
      <c r="D9" s="9">
        <f ca="1">SUMIF(E15:F104,"Ly",G15:G104)+SUMIF(E15:F104,"Yên, Ly",G15:G104)/2+SUMIF(E15:F104,"All team",G15:G104)/5</f>
        <v>42.8</v>
      </c>
      <c r="E9" s="9">
        <f ca="1">SUMIF(E15:F104,"Ly",H15:H104)+SUMIF(E15:F104,"Yên, Ly",H15:H104)/2+SUMIF(E15:F104,"All team",H15:H104)/5+SUMIF(E15:F104,"Cường, Ly",H15:H104)/2</f>
        <v>40</v>
      </c>
      <c r="G9" s="1"/>
      <c r="H9" s="1"/>
      <c r="I9" s="1"/>
      <c r="J9" s="1"/>
      <c r="K9" s="1"/>
      <c r="L9" s="1"/>
      <c r="M9" s="1"/>
      <c r="N9" s="1"/>
      <c r="O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x14ac:dyDescent="0.2">
      <c r="A10" s="1"/>
      <c r="B10" s="9">
        <v>3</v>
      </c>
      <c r="C10" s="8" t="s">
        <v>37</v>
      </c>
      <c r="D10" s="9">
        <f ca="1">SUMIF(E15:F104,"Thi",G15:G104)+SUMIF(E15:F104,"Vy, Thi, Cường",G15:G104)/3+SUMIF(E15:F104,"All team",G15:G104)/5</f>
        <v>38.799999999999997</v>
      </c>
      <c r="E10" s="9">
        <f ca="1">SUMIF(E15:F104,"Thi",H15:H104)+SUMIF(E15:F104,"Vy, Thi, Cường",H15:H104)/3+SUMIF(E15:F104,"All team",H15:H104)/5</f>
        <v>40</v>
      </c>
      <c r="G10" s="1"/>
      <c r="H10" s="1"/>
      <c r="I10" s="1"/>
      <c r="J10" s="1"/>
      <c r="K10" s="1"/>
      <c r="L10" s="1"/>
      <c r="M10" s="1"/>
      <c r="N10" s="1"/>
      <c r="O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x14ac:dyDescent="0.2">
      <c r="A11" s="1"/>
      <c r="B11" s="9">
        <v>4</v>
      </c>
      <c r="C11" s="8" t="s">
        <v>39</v>
      </c>
      <c r="D11" s="9">
        <f ca="1">SUMIF(E15:F104,"Vy",G15:G104)+SUMIF(E15:F104,"Vy, Thi, Cường",G15:G104)/3+SUMIF(E15:F104,"All team",G15:G104)/5</f>
        <v>39.799999999999997</v>
      </c>
      <c r="E11" s="9">
        <f ca="1">SUMIF(E15:F104,"Vy",H15:H104)+SUMIF(E15:F104,"Vy, Thi, Cường",H15:H104)/3+SUMIF(E15:F104,"All team",H15:H104)/5</f>
        <v>40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x14ac:dyDescent="0.2">
      <c r="A12" s="1"/>
      <c r="B12" s="9">
        <v>5</v>
      </c>
      <c r="C12" s="8" t="s">
        <v>38</v>
      </c>
      <c r="D12" s="9">
        <f ca="1">SUMIF(E15:F104,"Yên",G15:G104)+SUMIF(E15:F104,"Yên, Ly",G15:G104)/2+SUMIF(E15:F104,"All team",G15:G104)/5</f>
        <v>41.8</v>
      </c>
      <c r="E12" s="9">
        <f ca="1">SUMIF(E15:F104,"Yên",H15:H104)+SUMIF(E15:F104,"Yên, Ly",H15:H104)/2+SUMIF(E15:F104,"All team",H15:H104)/5</f>
        <v>40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x14ac:dyDescent="0.2">
      <c r="A13" s="1"/>
      <c r="B13" s="58" t="s">
        <v>13</v>
      </c>
      <c r="C13" s="58"/>
      <c r="D13" s="12">
        <f ca="1">SUM(D8:D12)</f>
        <v>203</v>
      </c>
      <c r="E13" s="12">
        <f ca="1">SUM(E8:E12)</f>
        <v>200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x14ac:dyDescent="0.2">
      <c r="A14" s="1"/>
      <c r="B14" s="1"/>
      <c r="C14" s="1"/>
      <c r="D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AG14" s="1"/>
    </row>
    <row r="15" spans="1:33" ht="65.45" customHeight="1" x14ac:dyDescent="0.2">
      <c r="A15" s="6" t="s">
        <v>14</v>
      </c>
      <c r="B15" s="6" t="s">
        <v>15</v>
      </c>
      <c r="C15" s="58" t="s">
        <v>16</v>
      </c>
      <c r="D15" s="58"/>
      <c r="E15" s="72" t="s">
        <v>17</v>
      </c>
      <c r="F15" s="72"/>
      <c r="G15" s="26" t="s">
        <v>11</v>
      </c>
      <c r="H15" s="26" t="s">
        <v>12</v>
      </c>
      <c r="I15" s="7">
        <v>46112</v>
      </c>
      <c r="J15" s="7">
        <v>46113</v>
      </c>
      <c r="K15" s="7">
        <v>46114</v>
      </c>
      <c r="L15" s="7">
        <v>46115</v>
      </c>
      <c r="M15" s="7">
        <v>46116</v>
      </c>
      <c r="N15" s="7">
        <v>46117</v>
      </c>
      <c r="O15" s="7">
        <v>46118</v>
      </c>
      <c r="P15" s="7">
        <v>46119</v>
      </c>
      <c r="Q15" s="7">
        <v>46120</v>
      </c>
      <c r="R15" s="7">
        <v>46121</v>
      </c>
      <c r="S15" s="7">
        <v>46122</v>
      </c>
      <c r="T15" s="7">
        <v>46123</v>
      </c>
      <c r="U15" s="7">
        <v>46124</v>
      </c>
      <c r="V15" s="7">
        <v>46125</v>
      </c>
      <c r="W15" s="7">
        <v>46126</v>
      </c>
      <c r="X15" s="7">
        <v>46127</v>
      </c>
      <c r="Y15" s="7">
        <v>46128</v>
      </c>
      <c r="Z15" s="7">
        <v>46129</v>
      </c>
      <c r="AA15" s="7">
        <v>46130</v>
      </c>
      <c r="AB15" s="1"/>
      <c r="AC15" s="1"/>
      <c r="AG15" s="1"/>
    </row>
    <row r="16" spans="1:33" x14ac:dyDescent="0.2">
      <c r="A16" s="66" t="s">
        <v>50</v>
      </c>
      <c r="B16" s="73" t="s">
        <v>18</v>
      </c>
      <c r="C16" s="73"/>
      <c r="D16" s="73"/>
      <c r="E16" s="63" t="s">
        <v>19</v>
      </c>
      <c r="F16" s="63"/>
      <c r="G16" s="27">
        <f>H16+I16</f>
        <v>10</v>
      </c>
      <c r="H16" s="27">
        <v>10</v>
      </c>
      <c r="I16" s="3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1"/>
      <c r="AC16" s="1"/>
      <c r="AG16" s="1"/>
    </row>
    <row r="17" spans="1:33" x14ac:dyDescent="0.2">
      <c r="A17" s="66"/>
      <c r="B17" s="73" t="s">
        <v>57</v>
      </c>
      <c r="C17" s="73"/>
      <c r="D17" s="73"/>
      <c r="E17" s="63" t="s">
        <v>143</v>
      </c>
      <c r="F17" s="63"/>
      <c r="G17" s="27">
        <f>H17+J17</f>
        <v>4</v>
      </c>
      <c r="H17" s="27">
        <v>4</v>
      </c>
      <c r="I17" s="8">
        <v>4</v>
      </c>
      <c r="J17" s="3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1"/>
      <c r="AC17" s="1"/>
      <c r="AF17" s="1"/>
      <c r="AG17" s="1"/>
    </row>
    <row r="18" spans="1:33" x14ac:dyDescent="0.2">
      <c r="A18" s="66"/>
      <c r="B18" s="73" t="s">
        <v>21</v>
      </c>
      <c r="C18" s="73"/>
      <c r="D18" s="73"/>
      <c r="E18" s="63" t="s">
        <v>144</v>
      </c>
      <c r="F18" s="63"/>
      <c r="G18" s="27">
        <f>H18+J18</f>
        <v>6</v>
      </c>
      <c r="H18" s="27">
        <v>6</v>
      </c>
      <c r="I18" s="8">
        <v>6</v>
      </c>
      <c r="J18" s="3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1"/>
      <c r="AC18" s="1"/>
      <c r="AF18" s="1"/>
      <c r="AG18" s="1"/>
    </row>
    <row r="19" spans="1:33" x14ac:dyDescent="0.2">
      <c r="A19" s="66"/>
      <c r="B19" s="66" t="s">
        <v>22</v>
      </c>
      <c r="C19" s="31" t="s">
        <v>99</v>
      </c>
      <c r="D19" s="32"/>
      <c r="E19" s="29" t="s">
        <v>145</v>
      </c>
      <c r="F19" s="30"/>
      <c r="G19" s="27">
        <f>H19+K19</f>
        <v>2</v>
      </c>
      <c r="H19" s="27">
        <v>2</v>
      </c>
      <c r="I19" s="8">
        <v>2</v>
      </c>
      <c r="J19" s="8">
        <v>2</v>
      </c>
      <c r="K19" s="3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1"/>
      <c r="AC19" s="1"/>
      <c r="AF19" s="1"/>
      <c r="AG19" s="1"/>
    </row>
    <row r="20" spans="1:33" x14ac:dyDescent="0.2">
      <c r="A20" s="66"/>
      <c r="B20" s="66"/>
      <c r="C20" s="64" t="s">
        <v>100</v>
      </c>
      <c r="D20" s="64"/>
      <c r="E20" s="63" t="s">
        <v>147</v>
      </c>
      <c r="F20" s="63"/>
      <c r="G20" s="27">
        <f>H20+K20</f>
        <v>2</v>
      </c>
      <c r="H20" s="27">
        <v>2</v>
      </c>
      <c r="I20" s="8">
        <v>2</v>
      </c>
      <c r="J20" s="8">
        <v>2</v>
      </c>
      <c r="K20" s="3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1"/>
      <c r="AC20" s="1"/>
      <c r="AF20" s="1"/>
      <c r="AG20" s="1"/>
    </row>
    <row r="21" spans="1:33" x14ac:dyDescent="0.2">
      <c r="A21" s="66"/>
      <c r="B21" s="66"/>
      <c r="C21" s="64" t="s">
        <v>93</v>
      </c>
      <c r="D21" s="64"/>
      <c r="E21" s="29" t="s">
        <v>149</v>
      </c>
      <c r="F21" s="30"/>
      <c r="G21" s="27">
        <f>H21+K21</f>
        <v>2</v>
      </c>
      <c r="H21" s="27">
        <v>2</v>
      </c>
      <c r="I21" s="8">
        <v>2</v>
      </c>
      <c r="J21" s="8">
        <v>2</v>
      </c>
      <c r="K21" s="3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1"/>
      <c r="AC21" s="1"/>
      <c r="AF21" s="1"/>
      <c r="AG21" s="1"/>
    </row>
    <row r="22" spans="1:33" x14ac:dyDescent="0.2">
      <c r="A22" s="66"/>
      <c r="B22" s="66"/>
      <c r="C22" s="31" t="s">
        <v>94</v>
      </c>
      <c r="D22" s="32"/>
      <c r="E22" s="29" t="s">
        <v>146</v>
      </c>
      <c r="F22" s="30"/>
      <c r="G22" s="27">
        <f>H22+K22</f>
        <v>2</v>
      </c>
      <c r="H22" s="27">
        <v>2</v>
      </c>
      <c r="I22" s="8">
        <v>2</v>
      </c>
      <c r="J22" s="8">
        <v>2</v>
      </c>
      <c r="K22" s="3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1"/>
      <c r="AC22" s="1"/>
      <c r="AF22" s="1"/>
      <c r="AG22" s="1"/>
    </row>
    <row r="23" spans="1:33" x14ac:dyDescent="0.2">
      <c r="A23" s="66"/>
      <c r="B23" s="66"/>
      <c r="C23" s="31" t="s">
        <v>95</v>
      </c>
      <c r="D23" s="32"/>
      <c r="E23" s="29" t="s">
        <v>148</v>
      </c>
      <c r="F23" s="30"/>
      <c r="G23" s="27">
        <f>H23+K23</f>
        <v>2</v>
      </c>
      <c r="H23" s="27">
        <v>2</v>
      </c>
      <c r="I23" s="8">
        <v>2</v>
      </c>
      <c r="J23" s="8">
        <v>2</v>
      </c>
      <c r="K23" s="3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1"/>
      <c r="AC23" s="1"/>
      <c r="AF23" s="1"/>
      <c r="AG23" s="1"/>
    </row>
    <row r="24" spans="1:33" x14ac:dyDescent="0.2">
      <c r="A24" s="66"/>
      <c r="B24" s="66"/>
      <c r="C24" s="31" t="s">
        <v>96</v>
      </c>
      <c r="D24" s="32"/>
      <c r="E24" s="29" t="s">
        <v>145</v>
      </c>
      <c r="F24" s="30"/>
      <c r="G24" s="27">
        <f>H24+L24</f>
        <v>2</v>
      </c>
      <c r="H24" s="27">
        <v>2</v>
      </c>
      <c r="I24" s="8">
        <v>2</v>
      </c>
      <c r="J24" s="8">
        <v>2</v>
      </c>
      <c r="K24" s="8">
        <v>2</v>
      </c>
      <c r="L24" s="3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1"/>
      <c r="AC24" s="1"/>
      <c r="AF24" s="1"/>
      <c r="AG24" s="1"/>
    </row>
    <row r="25" spans="1:33" x14ac:dyDescent="0.2">
      <c r="A25" s="66"/>
      <c r="B25" s="66"/>
      <c r="C25" s="71" t="s">
        <v>97</v>
      </c>
      <c r="D25" s="71"/>
      <c r="E25" s="63" t="s">
        <v>147</v>
      </c>
      <c r="F25" s="63"/>
      <c r="G25" s="27">
        <f>H25+L25</f>
        <v>2</v>
      </c>
      <c r="H25" s="27">
        <v>2</v>
      </c>
      <c r="I25" s="8">
        <v>2</v>
      </c>
      <c r="J25" s="8">
        <v>2</v>
      </c>
      <c r="K25" s="8">
        <v>2</v>
      </c>
      <c r="L25" s="3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1"/>
      <c r="AC25" s="1"/>
      <c r="AF25" s="1"/>
      <c r="AG25" s="1"/>
    </row>
    <row r="26" spans="1:33" x14ac:dyDescent="0.2">
      <c r="A26" s="66"/>
      <c r="B26" s="66"/>
      <c r="C26" s="70" t="s">
        <v>40</v>
      </c>
      <c r="D26" s="70"/>
      <c r="E26" s="29" t="s">
        <v>149</v>
      </c>
      <c r="F26" s="30"/>
      <c r="G26" s="27">
        <f>H26+L26</f>
        <v>2</v>
      </c>
      <c r="H26" s="27">
        <v>2</v>
      </c>
      <c r="I26" s="8">
        <v>2</v>
      </c>
      <c r="J26" s="8">
        <v>2</v>
      </c>
      <c r="K26" s="8">
        <v>2</v>
      </c>
      <c r="L26" s="3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1"/>
      <c r="AC26" s="1"/>
      <c r="AF26" s="1"/>
      <c r="AG26" s="1"/>
    </row>
    <row r="27" spans="1:33" x14ac:dyDescent="0.2">
      <c r="A27" s="66"/>
      <c r="B27" s="69"/>
      <c r="C27" s="31" t="s">
        <v>180</v>
      </c>
      <c r="D27" s="32"/>
      <c r="E27" s="29" t="s">
        <v>146</v>
      </c>
      <c r="F27" s="30"/>
      <c r="G27" s="27">
        <f>H27+L27</f>
        <v>2</v>
      </c>
      <c r="H27" s="27">
        <v>2</v>
      </c>
      <c r="I27" s="8">
        <v>2</v>
      </c>
      <c r="J27" s="8">
        <v>2</v>
      </c>
      <c r="K27" s="8">
        <v>2</v>
      </c>
      <c r="L27" s="3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1"/>
      <c r="AC27" s="1"/>
      <c r="AF27" s="1"/>
      <c r="AG27" s="1"/>
    </row>
    <row r="28" spans="1:33" x14ac:dyDescent="0.2">
      <c r="A28" s="66"/>
      <c r="B28" s="66"/>
      <c r="C28" s="71" t="s">
        <v>44</v>
      </c>
      <c r="D28" s="71"/>
      <c r="E28" s="29" t="s">
        <v>148</v>
      </c>
      <c r="F28" s="30"/>
      <c r="G28" s="27">
        <f>H28+L28</f>
        <v>2</v>
      </c>
      <c r="H28" s="27">
        <v>2</v>
      </c>
      <c r="I28" s="8">
        <v>2</v>
      </c>
      <c r="J28" s="8">
        <v>2</v>
      </c>
      <c r="K28" s="8">
        <v>2</v>
      </c>
      <c r="L28" s="3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1"/>
      <c r="AC28" s="1"/>
      <c r="AF28" s="1"/>
      <c r="AG28" s="1"/>
    </row>
    <row r="29" spans="1:33" x14ac:dyDescent="0.2">
      <c r="A29" s="66"/>
      <c r="B29" s="66"/>
      <c r="C29" s="64" t="s">
        <v>59</v>
      </c>
      <c r="D29" s="64"/>
      <c r="E29" s="63" t="s">
        <v>19</v>
      </c>
      <c r="F29" s="63"/>
      <c r="G29" s="27">
        <f>H29+M29</f>
        <v>10</v>
      </c>
      <c r="H29" s="27">
        <v>10</v>
      </c>
      <c r="I29" s="8">
        <v>10</v>
      </c>
      <c r="J29" s="8">
        <v>10</v>
      </c>
      <c r="K29" s="8">
        <v>10</v>
      </c>
      <c r="L29" s="8">
        <v>10</v>
      </c>
      <c r="M29" s="3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1"/>
      <c r="AC29" s="1"/>
      <c r="AF29" s="1"/>
      <c r="AG29" s="1"/>
    </row>
    <row r="30" spans="1:33" x14ac:dyDescent="0.2">
      <c r="A30" s="66"/>
      <c r="B30" s="41" t="s">
        <v>24</v>
      </c>
      <c r="C30" s="64" t="s">
        <v>181</v>
      </c>
      <c r="D30" s="64"/>
      <c r="E30" s="30" t="s">
        <v>146</v>
      </c>
      <c r="F30" s="63"/>
      <c r="G30" s="27">
        <f>H30+N30</f>
        <v>2</v>
      </c>
      <c r="H30" s="27">
        <v>2</v>
      </c>
      <c r="I30" s="8">
        <v>2</v>
      </c>
      <c r="J30" s="8">
        <v>2</v>
      </c>
      <c r="K30" s="8">
        <v>2</v>
      </c>
      <c r="L30" s="8">
        <v>2</v>
      </c>
      <c r="M30" s="8">
        <v>2</v>
      </c>
      <c r="N30" s="3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1"/>
      <c r="AC30" s="1"/>
      <c r="AF30" s="1"/>
      <c r="AG30" s="1"/>
    </row>
    <row r="31" spans="1:33" x14ac:dyDescent="0.2">
      <c r="A31" s="66"/>
      <c r="B31" s="45"/>
      <c r="C31" s="64" t="s">
        <v>182</v>
      </c>
      <c r="D31" s="64"/>
      <c r="E31" s="29" t="s">
        <v>149</v>
      </c>
      <c r="F31" s="30"/>
      <c r="G31" s="27">
        <f t="shared" ref="G31:G34" si="0">H31+N31</f>
        <v>2</v>
      </c>
      <c r="H31" s="27">
        <v>2</v>
      </c>
      <c r="I31" s="8">
        <v>2</v>
      </c>
      <c r="J31" s="8">
        <v>2</v>
      </c>
      <c r="K31" s="8">
        <v>2</v>
      </c>
      <c r="L31" s="8">
        <v>2</v>
      </c>
      <c r="M31" s="8">
        <v>2</v>
      </c>
      <c r="N31" s="3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1"/>
      <c r="AC31" s="1"/>
      <c r="AF31" s="1"/>
      <c r="AG31" s="1"/>
    </row>
    <row r="32" spans="1:33" x14ac:dyDescent="0.2">
      <c r="A32" s="66"/>
      <c r="B32" s="45"/>
      <c r="C32" s="64" t="s">
        <v>183</v>
      </c>
      <c r="D32" s="64"/>
      <c r="E32" s="29" t="s">
        <v>148</v>
      </c>
      <c r="F32" s="30"/>
      <c r="G32" s="27">
        <f t="shared" si="0"/>
        <v>2</v>
      </c>
      <c r="H32" s="27">
        <v>2</v>
      </c>
      <c r="I32" s="8">
        <v>2</v>
      </c>
      <c r="J32" s="8">
        <v>2</v>
      </c>
      <c r="K32" s="8">
        <v>2</v>
      </c>
      <c r="L32" s="8">
        <v>2</v>
      </c>
      <c r="M32" s="8">
        <v>2</v>
      </c>
      <c r="N32" s="3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1"/>
      <c r="AC32" s="1"/>
      <c r="AF32" s="1"/>
      <c r="AG32" s="1"/>
    </row>
    <row r="33" spans="1:33" x14ac:dyDescent="0.2">
      <c r="A33" s="66"/>
      <c r="B33" s="45"/>
      <c r="C33" s="64" t="s">
        <v>164</v>
      </c>
      <c r="D33" s="64"/>
      <c r="E33" s="29" t="s">
        <v>147</v>
      </c>
      <c r="F33" s="30"/>
      <c r="G33" s="27">
        <f t="shared" si="0"/>
        <v>2</v>
      </c>
      <c r="H33" s="27">
        <v>2</v>
      </c>
      <c r="I33" s="8">
        <v>2</v>
      </c>
      <c r="J33" s="8">
        <v>2</v>
      </c>
      <c r="K33" s="8">
        <v>2</v>
      </c>
      <c r="L33" s="8">
        <v>2</v>
      </c>
      <c r="M33" s="8">
        <v>2</v>
      </c>
      <c r="N33" s="3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1"/>
      <c r="AC33" s="1"/>
      <c r="AF33" s="1"/>
      <c r="AG33" s="1"/>
    </row>
    <row r="34" spans="1:33" x14ac:dyDescent="0.2">
      <c r="A34" s="66"/>
      <c r="B34" s="45"/>
      <c r="C34" s="48" t="s">
        <v>165</v>
      </c>
      <c r="D34" s="49"/>
      <c r="E34" s="30" t="s">
        <v>145</v>
      </c>
      <c r="F34" s="63"/>
      <c r="G34" s="27">
        <f t="shared" si="0"/>
        <v>2</v>
      </c>
      <c r="H34" s="27">
        <v>2</v>
      </c>
      <c r="I34" s="8">
        <v>2</v>
      </c>
      <c r="J34" s="8">
        <v>2</v>
      </c>
      <c r="K34" s="8">
        <v>2</v>
      </c>
      <c r="L34" s="8">
        <v>2</v>
      </c>
      <c r="M34" s="8">
        <v>2</v>
      </c>
      <c r="N34" s="3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1"/>
      <c r="AC34" s="1"/>
      <c r="AF34" s="1"/>
      <c r="AG34" s="1"/>
    </row>
    <row r="35" spans="1:33" x14ac:dyDescent="0.2">
      <c r="A35" s="66"/>
      <c r="B35" s="45"/>
      <c r="C35" s="48" t="s">
        <v>184</v>
      </c>
      <c r="D35" s="49"/>
      <c r="E35" s="30" t="s">
        <v>146</v>
      </c>
      <c r="F35" s="63"/>
      <c r="G35" s="27">
        <f>H35+O36</f>
        <v>3</v>
      </c>
      <c r="H35" s="27">
        <v>2</v>
      </c>
      <c r="I35" s="8">
        <v>2</v>
      </c>
      <c r="J35" s="8">
        <v>2</v>
      </c>
      <c r="K35" s="8">
        <v>2</v>
      </c>
      <c r="L35" s="8">
        <v>2</v>
      </c>
      <c r="M35" s="8">
        <v>2</v>
      </c>
      <c r="N35" s="8">
        <v>2</v>
      </c>
      <c r="O35" s="3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1"/>
      <c r="AC35" s="1"/>
      <c r="AF35" s="1"/>
      <c r="AG35" s="1"/>
    </row>
    <row r="36" spans="1:33" x14ac:dyDescent="0.2">
      <c r="A36" s="66"/>
      <c r="B36" s="45"/>
      <c r="C36" s="29"/>
      <c r="D36" s="30"/>
      <c r="E36" s="29"/>
      <c r="F36" s="30"/>
      <c r="G36" s="27"/>
      <c r="H36" s="27"/>
      <c r="I36" s="8"/>
      <c r="J36" s="8"/>
      <c r="K36" s="8"/>
      <c r="L36" s="8"/>
      <c r="M36" s="8"/>
      <c r="N36" s="8"/>
      <c r="O36" s="4">
        <v>1</v>
      </c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1"/>
      <c r="AC36" s="1"/>
      <c r="AF36" s="1"/>
      <c r="AG36" s="1"/>
    </row>
    <row r="37" spans="1:33" x14ac:dyDescent="0.2">
      <c r="A37" s="66"/>
      <c r="B37" s="45"/>
      <c r="C37" s="64" t="s">
        <v>185</v>
      </c>
      <c r="D37" s="64"/>
      <c r="E37" s="29" t="s">
        <v>149</v>
      </c>
      <c r="F37" s="30"/>
      <c r="G37" s="27">
        <f>H37+O37</f>
        <v>2</v>
      </c>
      <c r="H37" s="27">
        <v>2</v>
      </c>
      <c r="I37" s="8">
        <v>2</v>
      </c>
      <c r="J37" s="8">
        <v>2</v>
      </c>
      <c r="K37" s="8">
        <v>2</v>
      </c>
      <c r="L37" s="8">
        <v>2</v>
      </c>
      <c r="M37" s="8">
        <v>2</v>
      </c>
      <c r="N37" s="8">
        <v>2</v>
      </c>
      <c r="O37" s="3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1"/>
      <c r="AC37" s="1"/>
      <c r="AF37" s="1"/>
      <c r="AG37" s="1"/>
    </row>
    <row r="38" spans="1:33" x14ac:dyDescent="0.2">
      <c r="A38" s="66"/>
      <c r="B38" s="45"/>
      <c r="C38" s="64" t="s">
        <v>42</v>
      </c>
      <c r="D38" s="64"/>
      <c r="E38" s="29" t="s">
        <v>148</v>
      </c>
      <c r="F38" s="30"/>
      <c r="G38" s="27">
        <f t="shared" ref="G38:G40" si="1">H38+O38</f>
        <v>2</v>
      </c>
      <c r="H38" s="27">
        <v>2</v>
      </c>
      <c r="I38" s="8">
        <v>2</v>
      </c>
      <c r="J38" s="8">
        <v>2</v>
      </c>
      <c r="K38" s="8">
        <v>2</v>
      </c>
      <c r="L38" s="8">
        <v>2</v>
      </c>
      <c r="M38" s="8">
        <v>2</v>
      </c>
      <c r="N38" s="8">
        <v>2</v>
      </c>
      <c r="O38" s="3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1"/>
      <c r="AC38" s="1"/>
      <c r="AF38" s="1"/>
      <c r="AG38" s="1"/>
    </row>
    <row r="39" spans="1:33" x14ac:dyDescent="0.2">
      <c r="A39" s="66"/>
      <c r="B39" s="45"/>
      <c r="C39" s="64" t="s">
        <v>155</v>
      </c>
      <c r="D39" s="64"/>
      <c r="E39" s="29" t="s">
        <v>147</v>
      </c>
      <c r="F39" s="30"/>
      <c r="G39" s="27">
        <f t="shared" si="1"/>
        <v>2</v>
      </c>
      <c r="H39" s="27">
        <v>2</v>
      </c>
      <c r="I39" s="8">
        <v>2</v>
      </c>
      <c r="J39" s="8">
        <v>2</v>
      </c>
      <c r="K39" s="8">
        <v>2</v>
      </c>
      <c r="L39" s="8">
        <v>2</v>
      </c>
      <c r="M39" s="8">
        <v>2</v>
      </c>
      <c r="N39" s="8">
        <v>2</v>
      </c>
      <c r="O39" s="3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1"/>
      <c r="AC39" s="1"/>
      <c r="AF39" s="1"/>
      <c r="AG39" s="1"/>
    </row>
    <row r="40" spans="1:33" x14ac:dyDescent="0.2">
      <c r="A40" s="66"/>
      <c r="B40" s="45"/>
      <c r="C40" s="64" t="s">
        <v>43</v>
      </c>
      <c r="D40" s="64"/>
      <c r="E40" s="30" t="s">
        <v>145</v>
      </c>
      <c r="F40" s="63"/>
      <c r="G40" s="27">
        <f t="shared" si="1"/>
        <v>2</v>
      </c>
      <c r="H40" s="27">
        <v>2</v>
      </c>
      <c r="I40" s="8">
        <v>2</v>
      </c>
      <c r="J40" s="8">
        <v>2</v>
      </c>
      <c r="K40" s="8">
        <v>2</v>
      </c>
      <c r="L40" s="8">
        <v>2</v>
      </c>
      <c r="M40" s="8">
        <v>2</v>
      </c>
      <c r="N40" s="8">
        <v>2</v>
      </c>
      <c r="O40" s="3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1"/>
      <c r="AC40" s="1"/>
      <c r="AF40" s="1"/>
      <c r="AG40" s="1"/>
    </row>
    <row r="41" spans="1:33" x14ac:dyDescent="0.2">
      <c r="A41" s="66"/>
      <c r="B41" s="45"/>
      <c r="C41" s="64" t="s">
        <v>58</v>
      </c>
      <c r="D41" s="64"/>
      <c r="E41" s="30" t="s">
        <v>19</v>
      </c>
      <c r="F41" s="63"/>
      <c r="G41" s="27">
        <f>H41+P42</f>
        <v>9</v>
      </c>
      <c r="H41" s="27">
        <v>10</v>
      </c>
      <c r="I41" s="8">
        <v>10</v>
      </c>
      <c r="J41" s="8">
        <v>10</v>
      </c>
      <c r="K41" s="8">
        <v>10</v>
      </c>
      <c r="L41" s="8">
        <v>10</v>
      </c>
      <c r="M41" s="8">
        <v>10</v>
      </c>
      <c r="N41" s="8">
        <v>10</v>
      </c>
      <c r="O41" s="8">
        <v>10</v>
      </c>
      <c r="P41" s="3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1"/>
      <c r="AC41" s="1"/>
      <c r="AF41" s="1"/>
      <c r="AG41" s="1"/>
    </row>
    <row r="42" spans="1:33" x14ac:dyDescent="0.2">
      <c r="A42" s="66"/>
      <c r="B42" s="42"/>
      <c r="C42" s="29"/>
      <c r="D42" s="30"/>
      <c r="E42" s="29"/>
      <c r="F42" s="30"/>
      <c r="G42" s="27"/>
      <c r="H42" s="27"/>
      <c r="I42" s="8"/>
      <c r="J42" s="8"/>
      <c r="K42" s="8"/>
      <c r="L42" s="8"/>
      <c r="M42" s="8"/>
      <c r="N42" s="8"/>
      <c r="O42" s="8"/>
      <c r="P42" s="5">
        <v>-1</v>
      </c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1"/>
      <c r="AC42" s="1"/>
      <c r="AF42" s="1"/>
      <c r="AG42" s="1"/>
    </row>
    <row r="43" spans="1:33" x14ac:dyDescent="0.2">
      <c r="A43" s="66"/>
      <c r="B43" s="41" t="s">
        <v>26</v>
      </c>
      <c r="C43" s="64" t="s">
        <v>116</v>
      </c>
      <c r="D43" s="64"/>
      <c r="E43" s="30" t="s">
        <v>149</v>
      </c>
      <c r="F43" s="63"/>
      <c r="G43" s="27">
        <f>H43+Q43</f>
        <v>2</v>
      </c>
      <c r="H43" s="27">
        <v>2</v>
      </c>
      <c r="I43" s="8">
        <v>2</v>
      </c>
      <c r="J43" s="8">
        <v>2</v>
      </c>
      <c r="K43" s="8">
        <v>2</v>
      </c>
      <c r="L43" s="8">
        <v>2</v>
      </c>
      <c r="M43" s="8">
        <v>2</v>
      </c>
      <c r="N43" s="8">
        <v>2</v>
      </c>
      <c r="O43" s="8">
        <v>2</v>
      </c>
      <c r="P43" s="8">
        <v>2</v>
      </c>
      <c r="Q43" s="3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1"/>
      <c r="AC43" s="1"/>
      <c r="AF43" s="1"/>
      <c r="AG43" s="1"/>
    </row>
    <row r="44" spans="1:33" x14ac:dyDescent="0.2">
      <c r="A44" s="66"/>
      <c r="B44" s="45"/>
      <c r="C44" s="64" t="s">
        <v>118</v>
      </c>
      <c r="D44" s="64"/>
      <c r="E44" s="29" t="s">
        <v>148</v>
      </c>
      <c r="F44" s="30"/>
      <c r="G44" s="27">
        <f t="shared" ref="G44:G47" si="2">H44+Q44</f>
        <v>2</v>
      </c>
      <c r="H44" s="27">
        <v>2</v>
      </c>
      <c r="I44" s="8">
        <v>2</v>
      </c>
      <c r="J44" s="8">
        <v>2</v>
      </c>
      <c r="K44" s="8">
        <v>2</v>
      </c>
      <c r="L44" s="8">
        <v>2</v>
      </c>
      <c r="M44" s="8">
        <v>2</v>
      </c>
      <c r="N44" s="8">
        <v>2</v>
      </c>
      <c r="O44" s="8">
        <v>2</v>
      </c>
      <c r="P44" s="8">
        <v>2</v>
      </c>
      <c r="Q44" s="3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1"/>
      <c r="AC44" s="1"/>
      <c r="AF44" s="1"/>
      <c r="AG44" s="1"/>
    </row>
    <row r="45" spans="1:33" x14ac:dyDescent="0.2">
      <c r="A45" s="66"/>
      <c r="B45" s="45"/>
      <c r="C45" s="64" t="s">
        <v>105</v>
      </c>
      <c r="D45" s="64"/>
      <c r="E45" s="29" t="s">
        <v>147</v>
      </c>
      <c r="F45" s="30"/>
      <c r="G45" s="27">
        <f t="shared" si="2"/>
        <v>2</v>
      </c>
      <c r="H45" s="27">
        <v>2</v>
      </c>
      <c r="I45" s="8">
        <v>2</v>
      </c>
      <c r="J45" s="8">
        <v>2</v>
      </c>
      <c r="K45" s="8">
        <v>2</v>
      </c>
      <c r="L45" s="8">
        <v>2</v>
      </c>
      <c r="M45" s="8">
        <v>2</v>
      </c>
      <c r="N45" s="8">
        <v>2</v>
      </c>
      <c r="O45" s="8">
        <v>2</v>
      </c>
      <c r="P45" s="8">
        <v>2</v>
      </c>
      <c r="Q45" s="3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1"/>
      <c r="AC45" s="1"/>
      <c r="AF45" s="1"/>
      <c r="AG45" s="1"/>
    </row>
    <row r="46" spans="1:33" x14ac:dyDescent="0.2">
      <c r="A46" s="66"/>
      <c r="B46" s="45"/>
      <c r="C46" s="64" t="s">
        <v>106</v>
      </c>
      <c r="D46" s="64"/>
      <c r="E46" s="29" t="s">
        <v>145</v>
      </c>
      <c r="F46" s="30"/>
      <c r="G46" s="27">
        <f t="shared" si="2"/>
        <v>2</v>
      </c>
      <c r="H46" s="27">
        <v>2</v>
      </c>
      <c r="I46" s="8">
        <v>2</v>
      </c>
      <c r="J46" s="8">
        <v>2</v>
      </c>
      <c r="K46" s="8">
        <v>2</v>
      </c>
      <c r="L46" s="8">
        <v>2</v>
      </c>
      <c r="M46" s="8">
        <v>2</v>
      </c>
      <c r="N46" s="8">
        <v>2</v>
      </c>
      <c r="O46" s="8">
        <v>2</v>
      </c>
      <c r="P46" s="8">
        <v>2</v>
      </c>
      <c r="Q46" s="3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1"/>
      <c r="AC46" s="1"/>
      <c r="AF46" s="1"/>
      <c r="AG46" s="1"/>
    </row>
    <row r="47" spans="1:33" x14ac:dyDescent="0.2">
      <c r="A47" s="66"/>
      <c r="B47" s="45"/>
      <c r="C47" s="64" t="s">
        <v>108</v>
      </c>
      <c r="D47" s="64"/>
      <c r="E47" s="30" t="s">
        <v>146</v>
      </c>
      <c r="F47" s="63"/>
      <c r="G47" s="27">
        <f t="shared" si="2"/>
        <v>2</v>
      </c>
      <c r="H47" s="27">
        <v>2</v>
      </c>
      <c r="I47" s="8">
        <v>2</v>
      </c>
      <c r="J47" s="8">
        <v>2</v>
      </c>
      <c r="K47" s="8">
        <v>2</v>
      </c>
      <c r="L47" s="8">
        <v>2</v>
      </c>
      <c r="M47" s="8">
        <v>2</v>
      </c>
      <c r="N47" s="8">
        <v>2</v>
      </c>
      <c r="O47" s="8">
        <v>2</v>
      </c>
      <c r="P47" s="8">
        <v>2</v>
      </c>
      <c r="Q47" s="3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1"/>
      <c r="AC47" s="1"/>
      <c r="AF47" s="1"/>
      <c r="AG47" s="1"/>
    </row>
    <row r="48" spans="1:33" x14ac:dyDescent="0.2">
      <c r="A48" s="66"/>
      <c r="B48" s="45"/>
      <c r="C48" s="64" t="s">
        <v>110</v>
      </c>
      <c r="D48" s="64"/>
      <c r="E48" s="29" t="s">
        <v>149</v>
      </c>
      <c r="F48" s="30"/>
      <c r="G48" s="27">
        <f>H48+R49</f>
        <v>4</v>
      </c>
      <c r="H48" s="27">
        <v>2</v>
      </c>
      <c r="I48" s="8">
        <v>2</v>
      </c>
      <c r="J48" s="8">
        <v>2</v>
      </c>
      <c r="K48" s="8">
        <v>2</v>
      </c>
      <c r="L48" s="8">
        <v>2</v>
      </c>
      <c r="M48" s="8">
        <v>2</v>
      </c>
      <c r="N48" s="8">
        <v>2</v>
      </c>
      <c r="O48" s="8">
        <v>2</v>
      </c>
      <c r="P48" s="8">
        <v>2</v>
      </c>
      <c r="Q48" s="8">
        <v>2</v>
      </c>
      <c r="R48" s="3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1"/>
      <c r="AC48" s="1"/>
      <c r="AF48" s="1"/>
      <c r="AG48" s="1"/>
    </row>
    <row r="49" spans="1:33" x14ac:dyDescent="0.2">
      <c r="A49" s="66"/>
      <c r="B49" s="45"/>
      <c r="C49" s="29"/>
      <c r="D49" s="30"/>
      <c r="E49" s="29"/>
      <c r="F49" s="30"/>
      <c r="G49" s="27"/>
      <c r="H49" s="27"/>
      <c r="I49" s="8"/>
      <c r="J49" s="8"/>
      <c r="K49" s="8"/>
      <c r="L49" s="8"/>
      <c r="M49" s="8"/>
      <c r="N49" s="8"/>
      <c r="O49" s="8"/>
      <c r="P49" s="8"/>
      <c r="Q49" s="8"/>
      <c r="R49" s="4">
        <v>2</v>
      </c>
      <c r="S49" s="8"/>
      <c r="T49" s="8"/>
      <c r="U49" s="8"/>
      <c r="V49" s="8"/>
      <c r="W49" s="8"/>
      <c r="X49" s="8"/>
      <c r="Y49" s="8"/>
      <c r="Z49" s="8"/>
      <c r="AA49" s="8"/>
      <c r="AB49" s="1"/>
      <c r="AC49" s="1"/>
      <c r="AF49" s="1"/>
      <c r="AG49" s="1"/>
    </row>
    <row r="50" spans="1:33" x14ac:dyDescent="0.2">
      <c r="A50" s="66"/>
      <c r="B50" s="45"/>
      <c r="C50" s="64" t="s">
        <v>112</v>
      </c>
      <c r="D50" s="64"/>
      <c r="E50" s="29" t="s">
        <v>148</v>
      </c>
      <c r="F50" s="30"/>
      <c r="G50" s="27">
        <f>H50+R50</f>
        <v>2</v>
      </c>
      <c r="H50" s="27">
        <v>2</v>
      </c>
      <c r="I50" s="8">
        <v>2</v>
      </c>
      <c r="J50" s="8">
        <v>2</v>
      </c>
      <c r="K50" s="8">
        <v>2</v>
      </c>
      <c r="L50" s="8">
        <v>2</v>
      </c>
      <c r="M50" s="8">
        <v>2</v>
      </c>
      <c r="N50" s="8">
        <v>2</v>
      </c>
      <c r="O50" s="8">
        <v>2</v>
      </c>
      <c r="P50" s="8">
        <v>2</v>
      </c>
      <c r="Q50" s="8">
        <v>2</v>
      </c>
      <c r="R50" s="3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1"/>
      <c r="AC50" s="1"/>
      <c r="AF50" s="1"/>
      <c r="AG50" s="1"/>
    </row>
    <row r="51" spans="1:33" x14ac:dyDescent="0.2">
      <c r="A51" s="66"/>
      <c r="B51" s="45"/>
      <c r="C51" s="64" t="s">
        <v>45</v>
      </c>
      <c r="D51" s="64"/>
      <c r="E51" s="29" t="s">
        <v>147</v>
      </c>
      <c r="F51" s="30"/>
      <c r="G51" s="27">
        <f t="shared" ref="G51:G53" si="3">H51+R51</f>
        <v>2</v>
      </c>
      <c r="H51" s="27">
        <v>2</v>
      </c>
      <c r="I51" s="8">
        <v>2</v>
      </c>
      <c r="J51" s="8">
        <v>2</v>
      </c>
      <c r="K51" s="8">
        <v>2</v>
      </c>
      <c r="L51" s="8">
        <v>2</v>
      </c>
      <c r="M51" s="8">
        <v>2</v>
      </c>
      <c r="N51" s="8">
        <v>2</v>
      </c>
      <c r="O51" s="8">
        <v>2</v>
      </c>
      <c r="P51" s="8">
        <v>2</v>
      </c>
      <c r="Q51" s="8">
        <v>2</v>
      </c>
      <c r="R51" s="3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1"/>
      <c r="AC51" s="1"/>
      <c r="AF51" s="1"/>
      <c r="AG51" s="1"/>
    </row>
    <row r="52" spans="1:33" x14ac:dyDescent="0.2">
      <c r="A52" s="66"/>
      <c r="B52" s="45"/>
      <c r="C52" s="64" t="s">
        <v>156</v>
      </c>
      <c r="D52" s="64"/>
      <c r="E52" s="29" t="s">
        <v>145</v>
      </c>
      <c r="F52" s="30"/>
      <c r="G52" s="27">
        <f t="shared" si="3"/>
        <v>2</v>
      </c>
      <c r="H52" s="27">
        <v>2</v>
      </c>
      <c r="I52" s="8">
        <v>2</v>
      </c>
      <c r="J52" s="8">
        <v>2</v>
      </c>
      <c r="K52" s="8">
        <v>2</v>
      </c>
      <c r="L52" s="8">
        <v>2</v>
      </c>
      <c r="M52" s="8">
        <v>2</v>
      </c>
      <c r="N52" s="8">
        <v>2</v>
      </c>
      <c r="O52" s="8">
        <v>2</v>
      </c>
      <c r="P52" s="8">
        <v>2</v>
      </c>
      <c r="Q52" s="8">
        <v>2</v>
      </c>
      <c r="R52" s="3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1"/>
      <c r="AC52" s="1"/>
      <c r="AF52" s="1"/>
      <c r="AG52" s="1"/>
    </row>
    <row r="53" spans="1:33" x14ac:dyDescent="0.2">
      <c r="A53" s="66"/>
      <c r="B53" s="45"/>
      <c r="C53" s="64" t="s">
        <v>186</v>
      </c>
      <c r="D53" s="64"/>
      <c r="E53" s="30" t="s">
        <v>146</v>
      </c>
      <c r="F53" s="63"/>
      <c r="G53" s="27">
        <f t="shared" si="3"/>
        <v>2</v>
      </c>
      <c r="H53" s="27">
        <v>2</v>
      </c>
      <c r="I53" s="8">
        <v>2</v>
      </c>
      <c r="J53" s="8">
        <v>2</v>
      </c>
      <c r="K53" s="8">
        <v>2</v>
      </c>
      <c r="L53" s="8">
        <v>2</v>
      </c>
      <c r="M53" s="8">
        <v>2</v>
      </c>
      <c r="N53" s="8">
        <v>2</v>
      </c>
      <c r="O53" s="8">
        <v>2</v>
      </c>
      <c r="P53" s="8">
        <v>2</v>
      </c>
      <c r="Q53" s="8">
        <v>2</v>
      </c>
      <c r="R53" s="3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1"/>
      <c r="AC53" s="1"/>
      <c r="AF53" s="1"/>
      <c r="AG53" s="1"/>
    </row>
    <row r="54" spans="1:33" x14ac:dyDescent="0.2">
      <c r="A54" s="66"/>
      <c r="B54" s="45"/>
      <c r="C54" s="64" t="s">
        <v>117</v>
      </c>
      <c r="D54" s="64"/>
      <c r="E54" s="65" t="s">
        <v>149</v>
      </c>
      <c r="F54" s="30"/>
      <c r="G54" s="27">
        <f>H54+S54</f>
        <v>2</v>
      </c>
      <c r="H54" s="27">
        <v>2</v>
      </c>
      <c r="I54" s="8">
        <v>2</v>
      </c>
      <c r="J54" s="8">
        <v>2</v>
      </c>
      <c r="K54" s="8">
        <v>2</v>
      </c>
      <c r="L54" s="8">
        <v>2</v>
      </c>
      <c r="M54" s="8">
        <v>2</v>
      </c>
      <c r="N54" s="8">
        <v>2</v>
      </c>
      <c r="O54" s="8">
        <v>2</v>
      </c>
      <c r="P54" s="8">
        <v>2</v>
      </c>
      <c r="Q54" s="8">
        <v>2</v>
      </c>
      <c r="R54" s="8">
        <v>2</v>
      </c>
      <c r="S54" s="3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1"/>
      <c r="AC54" s="1"/>
      <c r="AF54" s="1"/>
      <c r="AG54" s="1"/>
    </row>
    <row r="55" spans="1:33" x14ac:dyDescent="0.2">
      <c r="A55" s="66"/>
      <c r="B55" s="45"/>
      <c r="C55" s="64" t="s">
        <v>119</v>
      </c>
      <c r="D55" s="64"/>
      <c r="E55" s="29" t="s">
        <v>148</v>
      </c>
      <c r="F55" s="30"/>
      <c r="G55" s="27">
        <f t="shared" ref="G55:G57" si="4">H55+S55</f>
        <v>2</v>
      </c>
      <c r="H55" s="27">
        <v>2</v>
      </c>
      <c r="I55" s="8">
        <v>2</v>
      </c>
      <c r="J55" s="8">
        <v>2</v>
      </c>
      <c r="K55" s="8">
        <v>2</v>
      </c>
      <c r="L55" s="8">
        <v>2</v>
      </c>
      <c r="M55" s="8">
        <v>2</v>
      </c>
      <c r="N55" s="8">
        <v>2</v>
      </c>
      <c r="O55" s="8">
        <v>2</v>
      </c>
      <c r="P55" s="8">
        <v>2</v>
      </c>
      <c r="Q55" s="8">
        <v>2</v>
      </c>
      <c r="R55" s="8">
        <v>2</v>
      </c>
      <c r="S55" s="3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1"/>
      <c r="AC55" s="1"/>
      <c r="AF55" s="1"/>
      <c r="AG55" s="1"/>
    </row>
    <row r="56" spans="1:33" x14ac:dyDescent="0.2">
      <c r="A56" s="66"/>
      <c r="B56" s="45"/>
      <c r="C56" s="64" t="s">
        <v>169</v>
      </c>
      <c r="D56" s="64"/>
      <c r="E56" s="29" t="s">
        <v>147</v>
      </c>
      <c r="F56" s="30"/>
      <c r="G56" s="27">
        <f t="shared" si="4"/>
        <v>2</v>
      </c>
      <c r="H56" s="27">
        <v>2</v>
      </c>
      <c r="I56" s="8">
        <v>2</v>
      </c>
      <c r="J56" s="8">
        <v>2</v>
      </c>
      <c r="K56" s="8">
        <v>2</v>
      </c>
      <c r="L56" s="8">
        <v>2</v>
      </c>
      <c r="M56" s="8">
        <v>2</v>
      </c>
      <c r="N56" s="8">
        <v>2</v>
      </c>
      <c r="O56" s="8">
        <v>2</v>
      </c>
      <c r="P56" s="8">
        <v>2</v>
      </c>
      <c r="Q56" s="8">
        <v>2</v>
      </c>
      <c r="R56" s="8">
        <v>2</v>
      </c>
      <c r="S56" s="3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1"/>
      <c r="AC56" s="1"/>
      <c r="AF56" s="1"/>
      <c r="AG56" s="1"/>
    </row>
    <row r="57" spans="1:33" ht="18.600000000000001" customHeight="1" x14ac:dyDescent="0.2">
      <c r="A57" s="66"/>
      <c r="B57" s="45"/>
      <c r="C57" s="64" t="s">
        <v>107</v>
      </c>
      <c r="D57" s="64"/>
      <c r="E57" s="29" t="s">
        <v>145</v>
      </c>
      <c r="F57" s="30"/>
      <c r="G57" s="27">
        <f t="shared" si="4"/>
        <v>2</v>
      </c>
      <c r="H57" s="27">
        <v>2</v>
      </c>
      <c r="I57" s="8">
        <v>2</v>
      </c>
      <c r="J57" s="8">
        <v>2</v>
      </c>
      <c r="K57" s="8">
        <v>2</v>
      </c>
      <c r="L57" s="8">
        <v>2</v>
      </c>
      <c r="M57" s="8">
        <v>2</v>
      </c>
      <c r="N57" s="8">
        <v>2</v>
      </c>
      <c r="O57" s="8">
        <v>2</v>
      </c>
      <c r="P57" s="8">
        <v>2</v>
      </c>
      <c r="Q57" s="8">
        <v>2</v>
      </c>
      <c r="R57" s="8">
        <v>2</v>
      </c>
      <c r="S57" s="3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1"/>
      <c r="AC57" s="1"/>
      <c r="AF57" s="1"/>
      <c r="AG57" s="1"/>
    </row>
    <row r="58" spans="1:33" x14ac:dyDescent="0.2">
      <c r="A58" s="66"/>
      <c r="B58" s="45"/>
      <c r="C58" s="64" t="s">
        <v>109</v>
      </c>
      <c r="D58" s="64"/>
      <c r="E58" s="30" t="s">
        <v>146</v>
      </c>
      <c r="F58" s="63"/>
      <c r="G58" s="27">
        <f>H58+S59</f>
        <v>3</v>
      </c>
      <c r="H58" s="27">
        <v>2</v>
      </c>
      <c r="I58" s="8">
        <v>2</v>
      </c>
      <c r="J58" s="8">
        <v>2</v>
      </c>
      <c r="K58" s="8">
        <v>2</v>
      </c>
      <c r="L58" s="8">
        <v>2</v>
      </c>
      <c r="M58" s="8">
        <v>2</v>
      </c>
      <c r="N58" s="8">
        <v>2</v>
      </c>
      <c r="O58" s="8">
        <v>2</v>
      </c>
      <c r="P58" s="8">
        <v>2</v>
      </c>
      <c r="Q58" s="8">
        <v>2</v>
      </c>
      <c r="R58" s="8">
        <v>2</v>
      </c>
      <c r="S58" s="3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1"/>
      <c r="AC58" s="1"/>
      <c r="AF58" s="1"/>
      <c r="AG58" s="1"/>
    </row>
    <row r="59" spans="1:33" x14ac:dyDescent="0.2">
      <c r="A59" s="66"/>
      <c r="B59" s="45"/>
      <c r="C59" s="29"/>
      <c r="D59" s="30"/>
      <c r="E59" s="29"/>
      <c r="F59" s="30"/>
      <c r="G59" s="27"/>
      <c r="H59" s="27"/>
      <c r="I59" s="8"/>
      <c r="J59" s="8"/>
      <c r="K59" s="8"/>
      <c r="L59" s="8"/>
      <c r="M59" s="8"/>
      <c r="N59" s="8"/>
      <c r="O59" s="8"/>
      <c r="P59" s="8"/>
      <c r="Q59" s="8"/>
      <c r="R59" s="8"/>
      <c r="S59" s="4">
        <v>1</v>
      </c>
      <c r="T59" s="8"/>
      <c r="U59" s="8"/>
      <c r="V59" s="8"/>
      <c r="W59" s="8"/>
      <c r="X59" s="8"/>
      <c r="Y59" s="8"/>
      <c r="Z59" s="8"/>
      <c r="AA59" s="8"/>
      <c r="AB59" s="1"/>
      <c r="AC59" s="1"/>
      <c r="AF59" s="1"/>
      <c r="AG59" s="1"/>
    </row>
    <row r="60" spans="1:33" x14ac:dyDescent="0.2">
      <c r="A60" s="66"/>
      <c r="B60" s="45"/>
      <c r="C60" s="64" t="s">
        <v>111</v>
      </c>
      <c r="D60" s="64"/>
      <c r="E60" s="65" t="s">
        <v>149</v>
      </c>
      <c r="F60" s="30"/>
      <c r="G60" s="27">
        <f>H60+T60</f>
        <v>2</v>
      </c>
      <c r="H60" s="27">
        <v>2</v>
      </c>
      <c r="I60" s="8">
        <v>2</v>
      </c>
      <c r="J60" s="8">
        <v>2</v>
      </c>
      <c r="K60" s="8">
        <v>2</v>
      </c>
      <c r="L60" s="8">
        <v>2</v>
      </c>
      <c r="M60" s="8">
        <v>2</v>
      </c>
      <c r="N60" s="8">
        <v>2</v>
      </c>
      <c r="O60" s="8">
        <v>2</v>
      </c>
      <c r="P60" s="8">
        <v>2</v>
      </c>
      <c r="Q60" s="8">
        <v>2</v>
      </c>
      <c r="R60" s="8">
        <v>2</v>
      </c>
      <c r="S60" s="8">
        <v>2</v>
      </c>
      <c r="T60" s="3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1"/>
      <c r="AC60" s="1"/>
      <c r="AF60" s="1"/>
      <c r="AG60" s="1"/>
    </row>
    <row r="61" spans="1:33" x14ac:dyDescent="0.2">
      <c r="A61" s="66"/>
      <c r="B61" s="45"/>
      <c r="C61" s="64" t="s">
        <v>113</v>
      </c>
      <c r="D61" s="64"/>
      <c r="E61" s="29" t="s">
        <v>148</v>
      </c>
      <c r="F61" s="30"/>
      <c r="G61" s="27">
        <f t="shared" ref="G61:G63" si="5">H61+T61</f>
        <v>2</v>
      </c>
      <c r="H61" s="27">
        <v>2</v>
      </c>
      <c r="I61" s="8">
        <v>2</v>
      </c>
      <c r="J61" s="8">
        <v>2</v>
      </c>
      <c r="K61" s="8">
        <v>2</v>
      </c>
      <c r="L61" s="8">
        <v>2</v>
      </c>
      <c r="M61" s="8">
        <v>2</v>
      </c>
      <c r="N61" s="8">
        <v>2</v>
      </c>
      <c r="O61" s="8">
        <v>2</v>
      </c>
      <c r="P61" s="8">
        <v>2</v>
      </c>
      <c r="Q61" s="8">
        <v>2</v>
      </c>
      <c r="R61" s="8">
        <v>2</v>
      </c>
      <c r="S61" s="8">
        <v>2</v>
      </c>
      <c r="T61" s="3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1"/>
      <c r="AC61" s="1"/>
      <c r="AF61" s="1"/>
      <c r="AG61" s="1"/>
    </row>
    <row r="62" spans="1:33" x14ac:dyDescent="0.2">
      <c r="A62" s="66"/>
      <c r="B62" s="45"/>
      <c r="C62" s="64" t="s">
        <v>46</v>
      </c>
      <c r="D62" s="64"/>
      <c r="E62" s="29" t="s">
        <v>147</v>
      </c>
      <c r="F62" s="30"/>
      <c r="G62" s="27">
        <f t="shared" si="5"/>
        <v>2</v>
      </c>
      <c r="H62" s="27">
        <v>2</v>
      </c>
      <c r="I62" s="8">
        <v>2</v>
      </c>
      <c r="J62" s="8">
        <v>2</v>
      </c>
      <c r="K62" s="8">
        <v>2</v>
      </c>
      <c r="L62" s="8">
        <v>2</v>
      </c>
      <c r="M62" s="8">
        <v>2</v>
      </c>
      <c r="N62" s="8">
        <v>2</v>
      </c>
      <c r="O62" s="8">
        <v>2</v>
      </c>
      <c r="P62" s="8">
        <v>2</v>
      </c>
      <c r="Q62" s="8">
        <v>2</v>
      </c>
      <c r="R62" s="8">
        <v>2</v>
      </c>
      <c r="S62" s="8">
        <v>2</v>
      </c>
      <c r="T62" s="3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1"/>
      <c r="AC62" s="1"/>
      <c r="AF62" s="1"/>
      <c r="AG62" s="1"/>
    </row>
    <row r="63" spans="1:33" x14ac:dyDescent="0.2">
      <c r="A63" s="66"/>
      <c r="B63" s="45"/>
      <c r="C63" s="64" t="s">
        <v>159</v>
      </c>
      <c r="D63" s="64"/>
      <c r="E63" s="29" t="s">
        <v>145</v>
      </c>
      <c r="F63" s="30"/>
      <c r="G63" s="27">
        <f t="shared" si="5"/>
        <v>2</v>
      </c>
      <c r="H63" s="27">
        <v>2</v>
      </c>
      <c r="I63" s="8">
        <v>2</v>
      </c>
      <c r="J63" s="8">
        <v>2</v>
      </c>
      <c r="K63" s="8">
        <v>2</v>
      </c>
      <c r="L63" s="8">
        <v>2</v>
      </c>
      <c r="M63" s="8">
        <v>2</v>
      </c>
      <c r="N63" s="8">
        <v>2</v>
      </c>
      <c r="O63" s="8">
        <v>2</v>
      </c>
      <c r="P63" s="8">
        <v>2</v>
      </c>
      <c r="Q63" s="8">
        <v>2</v>
      </c>
      <c r="R63" s="8">
        <v>2</v>
      </c>
      <c r="S63" s="8">
        <v>2</v>
      </c>
      <c r="T63" s="3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1"/>
      <c r="AC63" s="1"/>
      <c r="AF63" s="1"/>
      <c r="AG63" s="1"/>
    </row>
    <row r="64" spans="1:33" x14ac:dyDescent="0.2">
      <c r="A64" s="66"/>
      <c r="B64" s="45"/>
      <c r="C64" s="64" t="s">
        <v>187</v>
      </c>
      <c r="D64" s="64"/>
      <c r="E64" s="30" t="s">
        <v>146</v>
      </c>
      <c r="F64" s="63"/>
      <c r="G64" s="27">
        <f>H64+T64</f>
        <v>2</v>
      </c>
      <c r="H64" s="27">
        <v>2</v>
      </c>
      <c r="I64" s="8">
        <v>2</v>
      </c>
      <c r="J64" s="8">
        <v>2</v>
      </c>
      <c r="K64" s="8">
        <v>2</v>
      </c>
      <c r="L64" s="8">
        <v>2</v>
      </c>
      <c r="M64" s="8">
        <v>2</v>
      </c>
      <c r="N64" s="8">
        <v>2</v>
      </c>
      <c r="O64" s="8">
        <v>2</v>
      </c>
      <c r="P64" s="8">
        <v>2</v>
      </c>
      <c r="Q64" s="8">
        <v>2</v>
      </c>
      <c r="R64" s="8">
        <v>2</v>
      </c>
      <c r="S64" s="8">
        <v>2</v>
      </c>
      <c r="T64" s="3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1"/>
      <c r="AC64" s="1"/>
      <c r="AF64" s="1"/>
      <c r="AG64" s="1"/>
    </row>
    <row r="65" spans="1:33" x14ac:dyDescent="0.2">
      <c r="A65" s="66"/>
      <c r="B65" s="45"/>
      <c r="C65" s="64" t="s">
        <v>27</v>
      </c>
      <c r="D65" s="64"/>
      <c r="E65" s="67" t="s">
        <v>146</v>
      </c>
      <c r="F65" s="67"/>
      <c r="G65" s="27">
        <f>H65+U66</f>
        <v>3</v>
      </c>
      <c r="H65" s="27">
        <v>2</v>
      </c>
      <c r="I65" s="27">
        <v>2</v>
      </c>
      <c r="J65" s="27">
        <v>2</v>
      </c>
      <c r="K65" s="27">
        <v>2</v>
      </c>
      <c r="L65" s="27">
        <v>2</v>
      </c>
      <c r="M65" s="27">
        <v>2</v>
      </c>
      <c r="N65" s="27">
        <v>2</v>
      </c>
      <c r="O65" s="27">
        <v>2</v>
      </c>
      <c r="P65" s="27">
        <v>2</v>
      </c>
      <c r="Q65" s="27">
        <v>2</v>
      </c>
      <c r="R65" s="27">
        <v>2</v>
      </c>
      <c r="S65" s="27">
        <v>2</v>
      </c>
      <c r="T65" s="27">
        <v>2</v>
      </c>
      <c r="U65" s="3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1"/>
      <c r="AC65" s="1"/>
      <c r="AF65" s="1"/>
      <c r="AG65" s="1"/>
    </row>
    <row r="66" spans="1:33" x14ac:dyDescent="0.2">
      <c r="A66" s="66"/>
      <c r="B66" s="42"/>
      <c r="C66" s="29"/>
      <c r="D66" s="30"/>
      <c r="E66" s="43"/>
      <c r="F66" s="44"/>
      <c r="G66" s="27"/>
      <c r="H66" s="27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4">
        <v>1</v>
      </c>
      <c r="V66" s="8"/>
      <c r="W66" s="8"/>
      <c r="X66" s="8"/>
      <c r="Y66" s="8"/>
      <c r="Z66" s="8"/>
      <c r="AA66" s="8"/>
      <c r="AB66" s="1"/>
      <c r="AC66" s="1"/>
      <c r="AF66" s="1"/>
      <c r="AG66" s="1"/>
    </row>
    <row r="67" spans="1:33" x14ac:dyDescent="0.2">
      <c r="A67" s="66"/>
      <c r="B67" s="66" t="s">
        <v>28</v>
      </c>
      <c r="C67" s="64" t="s">
        <v>125</v>
      </c>
      <c r="D67" s="64"/>
      <c r="E67" s="30" t="s">
        <v>145</v>
      </c>
      <c r="F67" s="63"/>
      <c r="G67" s="27">
        <f>H67+U67</f>
        <v>2</v>
      </c>
      <c r="H67" s="27">
        <v>2</v>
      </c>
      <c r="I67" s="8">
        <v>2</v>
      </c>
      <c r="J67" s="8">
        <v>2</v>
      </c>
      <c r="K67" s="8">
        <v>2</v>
      </c>
      <c r="L67" s="8">
        <v>2</v>
      </c>
      <c r="M67" s="8">
        <v>2</v>
      </c>
      <c r="N67" s="8">
        <v>2</v>
      </c>
      <c r="O67" s="8">
        <v>2</v>
      </c>
      <c r="P67" s="8">
        <v>2</v>
      </c>
      <c r="Q67" s="8">
        <v>2</v>
      </c>
      <c r="R67" s="8">
        <v>2</v>
      </c>
      <c r="S67" s="8">
        <v>2</v>
      </c>
      <c r="T67" s="8">
        <v>2</v>
      </c>
      <c r="U67" s="3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1"/>
      <c r="AC67" s="1"/>
      <c r="AF67" s="1"/>
      <c r="AG67" s="1"/>
    </row>
    <row r="68" spans="1:33" x14ac:dyDescent="0.2">
      <c r="A68" s="66"/>
      <c r="B68" s="66"/>
      <c r="C68" s="64" t="s">
        <v>120</v>
      </c>
      <c r="D68" s="64"/>
      <c r="E68" s="29" t="s">
        <v>149</v>
      </c>
      <c r="F68" s="30"/>
      <c r="G68" s="27">
        <f t="shared" ref="G68:G69" si="6">H68+U68</f>
        <v>2</v>
      </c>
      <c r="H68" s="27">
        <v>2</v>
      </c>
      <c r="I68" s="8">
        <v>2</v>
      </c>
      <c r="J68" s="8">
        <v>2</v>
      </c>
      <c r="K68" s="8">
        <v>2</v>
      </c>
      <c r="L68" s="8">
        <v>2</v>
      </c>
      <c r="M68" s="8">
        <v>2</v>
      </c>
      <c r="N68" s="8">
        <v>2</v>
      </c>
      <c r="O68" s="8">
        <v>2</v>
      </c>
      <c r="P68" s="8">
        <v>2</v>
      </c>
      <c r="Q68" s="8">
        <v>2</v>
      </c>
      <c r="R68" s="8">
        <v>2</v>
      </c>
      <c r="S68" s="8">
        <v>2</v>
      </c>
      <c r="T68" s="8">
        <v>2</v>
      </c>
      <c r="U68" s="3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1"/>
      <c r="AC68" s="1"/>
      <c r="AF68" s="1"/>
      <c r="AG68" s="1"/>
    </row>
    <row r="69" spans="1:33" x14ac:dyDescent="0.2">
      <c r="A69" s="66"/>
      <c r="B69" s="66"/>
      <c r="C69" s="64" t="s">
        <v>128</v>
      </c>
      <c r="D69" s="64"/>
      <c r="E69" s="29" t="s">
        <v>148</v>
      </c>
      <c r="F69" s="30"/>
      <c r="G69" s="27">
        <f t="shared" si="6"/>
        <v>2</v>
      </c>
      <c r="H69" s="27">
        <v>2</v>
      </c>
      <c r="I69" s="8">
        <v>2</v>
      </c>
      <c r="J69" s="8">
        <v>2</v>
      </c>
      <c r="K69" s="8">
        <v>2</v>
      </c>
      <c r="L69" s="8">
        <v>2</v>
      </c>
      <c r="M69" s="8">
        <v>2</v>
      </c>
      <c r="N69" s="8">
        <v>2</v>
      </c>
      <c r="O69" s="8">
        <v>2</v>
      </c>
      <c r="P69" s="8">
        <v>2</v>
      </c>
      <c r="Q69" s="8">
        <v>2</v>
      </c>
      <c r="R69" s="8">
        <v>2</v>
      </c>
      <c r="S69" s="8">
        <v>2</v>
      </c>
      <c r="T69" s="8">
        <v>2</v>
      </c>
      <c r="U69" s="3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1"/>
      <c r="AC69" s="1"/>
      <c r="AF69" s="1"/>
      <c r="AG69" s="1"/>
    </row>
    <row r="70" spans="1:33" x14ac:dyDescent="0.2">
      <c r="A70" s="66"/>
      <c r="B70" s="66"/>
      <c r="C70" s="64" t="s">
        <v>131</v>
      </c>
      <c r="D70" s="64"/>
      <c r="E70" s="29" t="s">
        <v>147</v>
      </c>
      <c r="F70" s="30"/>
      <c r="G70" s="27">
        <f>H70+U71</f>
        <v>1</v>
      </c>
      <c r="H70" s="27">
        <v>2</v>
      </c>
      <c r="I70" s="8">
        <v>2</v>
      </c>
      <c r="J70" s="8">
        <v>2</v>
      </c>
      <c r="K70" s="8">
        <v>2</v>
      </c>
      <c r="L70" s="8">
        <v>2</v>
      </c>
      <c r="M70" s="8">
        <v>2</v>
      </c>
      <c r="N70" s="8">
        <v>2</v>
      </c>
      <c r="O70" s="8">
        <v>2</v>
      </c>
      <c r="P70" s="8">
        <v>2</v>
      </c>
      <c r="Q70" s="8">
        <v>2</v>
      </c>
      <c r="R70" s="8">
        <v>2</v>
      </c>
      <c r="S70" s="8">
        <v>2</v>
      </c>
      <c r="T70" s="8">
        <v>2</v>
      </c>
      <c r="U70" s="3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1"/>
      <c r="AC70" s="1"/>
      <c r="AF70" s="1"/>
      <c r="AG70" s="1"/>
    </row>
    <row r="71" spans="1:33" x14ac:dyDescent="0.2">
      <c r="A71" s="66"/>
      <c r="B71" s="66"/>
      <c r="C71" s="29"/>
      <c r="D71" s="30"/>
      <c r="E71" s="29"/>
      <c r="F71" s="30"/>
      <c r="G71" s="27"/>
      <c r="H71" s="27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5">
        <v>-1</v>
      </c>
      <c r="V71" s="8"/>
      <c r="W71" s="8"/>
      <c r="X71" s="8"/>
      <c r="Y71" s="8"/>
      <c r="Z71" s="8"/>
      <c r="AA71" s="8"/>
      <c r="AB71" s="1"/>
      <c r="AC71" s="1"/>
      <c r="AF71" s="1"/>
      <c r="AG71" s="1"/>
    </row>
    <row r="72" spans="1:33" x14ac:dyDescent="0.2">
      <c r="A72" s="66"/>
      <c r="B72" s="66"/>
      <c r="C72" s="64" t="s">
        <v>134</v>
      </c>
      <c r="D72" s="64"/>
      <c r="E72" s="30" t="s">
        <v>146</v>
      </c>
      <c r="F72" s="63"/>
      <c r="G72" s="27">
        <f>H72+V72</f>
        <v>2</v>
      </c>
      <c r="H72" s="27">
        <v>2</v>
      </c>
      <c r="I72" s="8">
        <v>2</v>
      </c>
      <c r="J72" s="8">
        <v>2</v>
      </c>
      <c r="K72" s="8">
        <v>2</v>
      </c>
      <c r="L72" s="8">
        <v>2</v>
      </c>
      <c r="M72" s="8">
        <v>2</v>
      </c>
      <c r="N72" s="8">
        <v>2</v>
      </c>
      <c r="O72" s="8">
        <v>2</v>
      </c>
      <c r="P72" s="8">
        <v>2</v>
      </c>
      <c r="Q72" s="8">
        <v>2</v>
      </c>
      <c r="R72" s="8">
        <v>2</v>
      </c>
      <c r="S72" s="8">
        <v>2</v>
      </c>
      <c r="T72" s="8">
        <v>2</v>
      </c>
      <c r="U72" s="8">
        <v>2</v>
      </c>
      <c r="V72" s="3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1"/>
      <c r="AC72" s="1"/>
      <c r="AF72" s="1"/>
      <c r="AG72" s="1"/>
    </row>
    <row r="73" spans="1:33" x14ac:dyDescent="0.2">
      <c r="A73" s="66"/>
      <c r="B73" s="66"/>
      <c r="C73" s="64" t="s">
        <v>137</v>
      </c>
      <c r="D73" s="64"/>
      <c r="E73" s="29" t="s">
        <v>149</v>
      </c>
      <c r="F73" s="30"/>
      <c r="G73" s="27">
        <f t="shared" ref="G73:G76" si="7">H73+V73</f>
        <v>2</v>
      </c>
      <c r="H73" s="27">
        <v>2</v>
      </c>
      <c r="I73" s="8">
        <v>2</v>
      </c>
      <c r="J73" s="8">
        <v>2</v>
      </c>
      <c r="K73" s="8">
        <v>2</v>
      </c>
      <c r="L73" s="8">
        <v>2</v>
      </c>
      <c r="M73" s="8">
        <v>2</v>
      </c>
      <c r="N73" s="8">
        <v>2</v>
      </c>
      <c r="O73" s="8">
        <v>2</v>
      </c>
      <c r="P73" s="8">
        <v>2</v>
      </c>
      <c r="Q73" s="8">
        <v>2</v>
      </c>
      <c r="R73" s="8">
        <v>2</v>
      </c>
      <c r="S73" s="8">
        <v>2</v>
      </c>
      <c r="T73" s="8">
        <v>2</v>
      </c>
      <c r="U73" s="8">
        <v>2</v>
      </c>
      <c r="V73" s="3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1"/>
      <c r="AC73" s="1"/>
      <c r="AF73" s="1"/>
      <c r="AG73" s="1"/>
    </row>
    <row r="74" spans="1:33" x14ac:dyDescent="0.2">
      <c r="A74" s="66"/>
      <c r="B74" s="66"/>
      <c r="C74" s="64" t="s">
        <v>141</v>
      </c>
      <c r="D74" s="64"/>
      <c r="E74" s="29" t="s">
        <v>148</v>
      </c>
      <c r="F74" s="30"/>
      <c r="G74" s="27">
        <f t="shared" si="7"/>
        <v>2</v>
      </c>
      <c r="H74" s="27">
        <v>2</v>
      </c>
      <c r="I74" s="8">
        <v>2</v>
      </c>
      <c r="J74" s="8">
        <v>2</v>
      </c>
      <c r="K74" s="8">
        <v>2</v>
      </c>
      <c r="L74" s="8">
        <v>2</v>
      </c>
      <c r="M74" s="8">
        <v>2</v>
      </c>
      <c r="N74" s="8">
        <v>2</v>
      </c>
      <c r="O74" s="8">
        <v>2</v>
      </c>
      <c r="P74" s="8">
        <v>2</v>
      </c>
      <c r="Q74" s="8">
        <v>2</v>
      </c>
      <c r="R74" s="8">
        <v>2</v>
      </c>
      <c r="S74" s="8">
        <v>2</v>
      </c>
      <c r="T74" s="8">
        <v>2</v>
      </c>
      <c r="U74" s="8">
        <v>2</v>
      </c>
      <c r="V74" s="3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1"/>
      <c r="AC74" s="1"/>
      <c r="AF74" s="1"/>
      <c r="AG74" s="1"/>
    </row>
    <row r="75" spans="1:33" x14ac:dyDescent="0.2">
      <c r="A75" s="66"/>
      <c r="B75" s="66"/>
      <c r="C75" s="64" t="s">
        <v>65</v>
      </c>
      <c r="D75" s="64"/>
      <c r="E75" s="29" t="s">
        <v>147</v>
      </c>
      <c r="F75" s="30"/>
      <c r="G75" s="27">
        <f t="shared" si="7"/>
        <v>2</v>
      </c>
      <c r="H75" s="27">
        <v>2</v>
      </c>
      <c r="I75" s="8">
        <v>2</v>
      </c>
      <c r="J75" s="8">
        <v>2</v>
      </c>
      <c r="K75" s="8">
        <v>2</v>
      </c>
      <c r="L75" s="8">
        <v>2</v>
      </c>
      <c r="M75" s="8">
        <v>2</v>
      </c>
      <c r="N75" s="8">
        <v>2</v>
      </c>
      <c r="O75" s="8">
        <v>2</v>
      </c>
      <c r="P75" s="8">
        <v>2</v>
      </c>
      <c r="Q75" s="8">
        <v>2</v>
      </c>
      <c r="R75" s="8">
        <v>2</v>
      </c>
      <c r="S75" s="8">
        <v>2</v>
      </c>
      <c r="T75" s="8">
        <v>2</v>
      </c>
      <c r="U75" s="8">
        <v>2</v>
      </c>
      <c r="V75" s="3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1"/>
      <c r="AC75" s="1"/>
      <c r="AF75" s="1"/>
      <c r="AG75" s="1"/>
    </row>
    <row r="76" spans="1:33" x14ac:dyDescent="0.2">
      <c r="A76" s="66"/>
      <c r="B76" s="66"/>
      <c r="C76" s="64" t="s">
        <v>189</v>
      </c>
      <c r="D76" s="64"/>
      <c r="E76" s="29" t="s">
        <v>145</v>
      </c>
      <c r="F76" s="30"/>
      <c r="G76" s="27">
        <f t="shared" si="7"/>
        <v>2</v>
      </c>
      <c r="H76" s="27">
        <v>2</v>
      </c>
      <c r="I76" s="8">
        <v>2</v>
      </c>
      <c r="J76" s="8">
        <v>2</v>
      </c>
      <c r="K76" s="8">
        <v>2</v>
      </c>
      <c r="L76" s="8">
        <v>2</v>
      </c>
      <c r="M76" s="8">
        <v>2</v>
      </c>
      <c r="N76" s="8">
        <v>2</v>
      </c>
      <c r="O76" s="8">
        <v>2</v>
      </c>
      <c r="P76" s="8">
        <v>2</v>
      </c>
      <c r="Q76" s="8">
        <v>2</v>
      </c>
      <c r="R76" s="8">
        <v>2</v>
      </c>
      <c r="S76" s="8">
        <v>2</v>
      </c>
      <c r="T76" s="8">
        <v>2</v>
      </c>
      <c r="U76" s="8">
        <v>2</v>
      </c>
      <c r="V76" s="3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1"/>
      <c r="AC76" s="1"/>
      <c r="AF76" s="1"/>
      <c r="AG76" s="1"/>
    </row>
    <row r="77" spans="1:33" x14ac:dyDescent="0.2">
      <c r="A77" s="66"/>
      <c r="B77" s="41" t="s">
        <v>152</v>
      </c>
      <c r="C77" s="31" t="s">
        <v>124</v>
      </c>
      <c r="D77" s="32"/>
      <c r="E77" s="29" t="s">
        <v>149</v>
      </c>
      <c r="F77" s="30"/>
      <c r="G77" s="27">
        <f>H77+W77</f>
        <v>2</v>
      </c>
      <c r="H77" s="27">
        <v>2</v>
      </c>
      <c r="I77" s="8">
        <v>2</v>
      </c>
      <c r="J77" s="8">
        <v>2</v>
      </c>
      <c r="K77" s="8">
        <v>2</v>
      </c>
      <c r="L77" s="8">
        <v>2</v>
      </c>
      <c r="M77" s="8">
        <v>2</v>
      </c>
      <c r="N77" s="8">
        <v>2</v>
      </c>
      <c r="O77" s="8">
        <v>2</v>
      </c>
      <c r="P77" s="8">
        <v>2</v>
      </c>
      <c r="Q77" s="8">
        <v>2</v>
      </c>
      <c r="R77" s="8">
        <v>2</v>
      </c>
      <c r="S77" s="8">
        <v>2</v>
      </c>
      <c r="T77" s="8">
        <v>2</v>
      </c>
      <c r="U77" s="8">
        <v>2</v>
      </c>
      <c r="V77" s="8">
        <v>2</v>
      </c>
      <c r="W77" s="3">
        <v>0</v>
      </c>
      <c r="X77" s="8">
        <v>0</v>
      </c>
      <c r="Y77" s="8">
        <v>0</v>
      </c>
      <c r="Z77" s="8">
        <v>0</v>
      </c>
      <c r="AA77" s="8">
        <v>0</v>
      </c>
      <c r="AB77" s="1"/>
      <c r="AC77" s="1"/>
      <c r="AF77" s="1"/>
      <c r="AG77" s="1"/>
    </row>
    <row r="78" spans="1:33" x14ac:dyDescent="0.2">
      <c r="A78" s="66"/>
      <c r="B78" s="45"/>
      <c r="C78" s="31" t="s">
        <v>121</v>
      </c>
      <c r="D78" s="32"/>
      <c r="E78" s="29" t="s">
        <v>148</v>
      </c>
      <c r="F78" s="30"/>
      <c r="G78" s="27">
        <f t="shared" ref="G78:G81" si="8">H78+W78</f>
        <v>2</v>
      </c>
      <c r="H78" s="27">
        <v>2</v>
      </c>
      <c r="I78" s="8">
        <v>2</v>
      </c>
      <c r="J78" s="8">
        <v>2</v>
      </c>
      <c r="K78" s="8">
        <v>2</v>
      </c>
      <c r="L78" s="8">
        <v>2</v>
      </c>
      <c r="M78" s="8">
        <v>2</v>
      </c>
      <c r="N78" s="8">
        <v>2</v>
      </c>
      <c r="O78" s="8">
        <v>2</v>
      </c>
      <c r="P78" s="8">
        <v>2</v>
      </c>
      <c r="Q78" s="8">
        <v>2</v>
      </c>
      <c r="R78" s="8">
        <v>2</v>
      </c>
      <c r="S78" s="8">
        <v>2</v>
      </c>
      <c r="T78" s="8">
        <v>2</v>
      </c>
      <c r="U78" s="8">
        <v>2</v>
      </c>
      <c r="V78" s="8">
        <v>2</v>
      </c>
      <c r="W78" s="3">
        <v>0</v>
      </c>
      <c r="X78" s="8">
        <v>0</v>
      </c>
      <c r="Y78" s="8">
        <v>0</v>
      </c>
      <c r="Z78" s="8">
        <v>0</v>
      </c>
      <c r="AA78" s="8">
        <v>0</v>
      </c>
      <c r="AB78" s="1"/>
      <c r="AC78" s="1"/>
      <c r="AF78" s="1"/>
      <c r="AG78" s="1"/>
    </row>
    <row r="79" spans="1:33" x14ac:dyDescent="0.2">
      <c r="A79" s="66"/>
      <c r="B79" s="45"/>
      <c r="C79" s="31" t="s">
        <v>129</v>
      </c>
      <c r="D79" s="32"/>
      <c r="E79" s="29" t="s">
        <v>147</v>
      </c>
      <c r="F79" s="30"/>
      <c r="G79" s="27">
        <f t="shared" si="8"/>
        <v>2</v>
      </c>
      <c r="H79" s="27">
        <v>2</v>
      </c>
      <c r="I79" s="8">
        <v>2</v>
      </c>
      <c r="J79" s="8">
        <v>2</v>
      </c>
      <c r="K79" s="8">
        <v>2</v>
      </c>
      <c r="L79" s="8">
        <v>2</v>
      </c>
      <c r="M79" s="8">
        <v>2</v>
      </c>
      <c r="N79" s="8">
        <v>2</v>
      </c>
      <c r="O79" s="8">
        <v>2</v>
      </c>
      <c r="P79" s="8">
        <v>2</v>
      </c>
      <c r="Q79" s="8">
        <v>2</v>
      </c>
      <c r="R79" s="8">
        <v>2</v>
      </c>
      <c r="S79" s="8">
        <v>2</v>
      </c>
      <c r="T79" s="8">
        <v>2</v>
      </c>
      <c r="U79" s="8">
        <v>2</v>
      </c>
      <c r="V79" s="8">
        <v>2</v>
      </c>
      <c r="W79" s="3">
        <v>0</v>
      </c>
      <c r="X79" s="8">
        <v>0</v>
      </c>
      <c r="Y79" s="8">
        <v>0</v>
      </c>
      <c r="Z79" s="8">
        <v>0</v>
      </c>
      <c r="AA79" s="8">
        <v>0</v>
      </c>
      <c r="AB79" s="1"/>
      <c r="AC79" s="1"/>
      <c r="AF79" s="1"/>
      <c r="AG79" s="1"/>
    </row>
    <row r="80" spans="1:33" x14ac:dyDescent="0.2">
      <c r="A80" s="66"/>
      <c r="B80" s="45"/>
      <c r="C80" s="31" t="s">
        <v>132</v>
      </c>
      <c r="D80" s="32"/>
      <c r="E80" s="29" t="s">
        <v>145</v>
      </c>
      <c r="F80" s="30"/>
      <c r="G80" s="27">
        <f t="shared" si="8"/>
        <v>2</v>
      </c>
      <c r="H80" s="27">
        <v>2</v>
      </c>
      <c r="I80" s="8">
        <v>2</v>
      </c>
      <c r="J80" s="8">
        <v>2</v>
      </c>
      <c r="K80" s="8">
        <v>2</v>
      </c>
      <c r="L80" s="8">
        <v>2</v>
      </c>
      <c r="M80" s="8">
        <v>2</v>
      </c>
      <c r="N80" s="8">
        <v>2</v>
      </c>
      <c r="O80" s="8">
        <v>2</v>
      </c>
      <c r="P80" s="8">
        <v>2</v>
      </c>
      <c r="Q80" s="8">
        <v>2</v>
      </c>
      <c r="R80" s="8">
        <v>2</v>
      </c>
      <c r="S80" s="8">
        <v>2</v>
      </c>
      <c r="T80" s="8">
        <v>2</v>
      </c>
      <c r="U80" s="8">
        <v>2</v>
      </c>
      <c r="V80" s="8">
        <v>2</v>
      </c>
      <c r="W80" s="3">
        <v>0</v>
      </c>
      <c r="X80" s="8">
        <v>0</v>
      </c>
      <c r="Y80" s="8">
        <v>0</v>
      </c>
      <c r="Z80" s="8">
        <v>0</v>
      </c>
      <c r="AA80" s="8">
        <v>0</v>
      </c>
      <c r="AB80" s="1"/>
      <c r="AC80" s="1"/>
      <c r="AF80" s="1"/>
      <c r="AG80" s="1"/>
    </row>
    <row r="81" spans="1:33" x14ac:dyDescent="0.2">
      <c r="A81" s="66"/>
      <c r="B81" s="45"/>
      <c r="C81" s="31" t="s">
        <v>135</v>
      </c>
      <c r="D81" s="32"/>
      <c r="E81" s="63" t="s">
        <v>146</v>
      </c>
      <c r="F81" s="63"/>
      <c r="G81" s="27">
        <f t="shared" si="8"/>
        <v>2</v>
      </c>
      <c r="H81" s="27">
        <v>2</v>
      </c>
      <c r="I81" s="8">
        <v>2</v>
      </c>
      <c r="J81" s="8">
        <v>2</v>
      </c>
      <c r="K81" s="8">
        <v>2</v>
      </c>
      <c r="L81" s="8">
        <v>2</v>
      </c>
      <c r="M81" s="8">
        <v>2</v>
      </c>
      <c r="N81" s="8">
        <v>2</v>
      </c>
      <c r="O81" s="8">
        <v>2</v>
      </c>
      <c r="P81" s="8">
        <v>2</v>
      </c>
      <c r="Q81" s="8">
        <v>2</v>
      </c>
      <c r="R81" s="8">
        <v>2</v>
      </c>
      <c r="S81" s="8">
        <v>2</v>
      </c>
      <c r="T81" s="8">
        <v>2</v>
      </c>
      <c r="U81" s="8">
        <v>2</v>
      </c>
      <c r="V81" s="8">
        <v>2</v>
      </c>
      <c r="W81" s="3">
        <v>0</v>
      </c>
      <c r="X81" s="8">
        <v>0</v>
      </c>
      <c r="Y81" s="8">
        <v>0</v>
      </c>
      <c r="Z81" s="8">
        <v>0</v>
      </c>
      <c r="AA81" s="8">
        <v>0</v>
      </c>
      <c r="AB81" s="1"/>
      <c r="AC81" s="1"/>
      <c r="AF81" s="1"/>
      <c r="AG81" s="1"/>
    </row>
    <row r="82" spans="1:33" x14ac:dyDescent="0.2">
      <c r="A82" s="66"/>
      <c r="B82" s="45"/>
      <c r="C82" s="31" t="s">
        <v>138</v>
      </c>
      <c r="D82" s="32"/>
      <c r="E82" s="29" t="s">
        <v>149</v>
      </c>
      <c r="F82" s="30"/>
      <c r="G82" s="27">
        <f>H82+X82</f>
        <v>2</v>
      </c>
      <c r="H82" s="27">
        <v>2</v>
      </c>
      <c r="I82" s="8">
        <v>2</v>
      </c>
      <c r="J82" s="8">
        <v>2</v>
      </c>
      <c r="K82" s="8">
        <v>2</v>
      </c>
      <c r="L82" s="8">
        <v>2</v>
      </c>
      <c r="M82" s="8">
        <v>2</v>
      </c>
      <c r="N82" s="8">
        <v>2</v>
      </c>
      <c r="O82" s="8">
        <v>2</v>
      </c>
      <c r="P82" s="8">
        <v>2</v>
      </c>
      <c r="Q82" s="8">
        <v>2</v>
      </c>
      <c r="R82" s="8">
        <v>2</v>
      </c>
      <c r="S82" s="8">
        <v>2</v>
      </c>
      <c r="T82" s="8">
        <v>2</v>
      </c>
      <c r="U82" s="8">
        <v>2</v>
      </c>
      <c r="V82" s="8">
        <v>2</v>
      </c>
      <c r="W82" s="8">
        <v>2</v>
      </c>
      <c r="X82" s="3">
        <v>0</v>
      </c>
      <c r="Y82" s="8">
        <v>0</v>
      </c>
      <c r="Z82" s="8">
        <v>0</v>
      </c>
      <c r="AA82" s="8">
        <v>0</v>
      </c>
      <c r="AB82" s="1"/>
      <c r="AC82" s="1"/>
      <c r="AF82" s="1"/>
      <c r="AG82" s="1"/>
    </row>
    <row r="83" spans="1:33" x14ac:dyDescent="0.2">
      <c r="A83" s="66"/>
      <c r="B83" s="45"/>
      <c r="C83" s="31" t="s">
        <v>140</v>
      </c>
      <c r="D83" s="32"/>
      <c r="E83" s="29" t="s">
        <v>148</v>
      </c>
      <c r="F83" s="30"/>
      <c r="G83" s="27">
        <f t="shared" ref="G83:G86" si="9">H83+X83</f>
        <v>2</v>
      </c>
      <c r="H83" s="27">
        <v>2</v>
      </c>
      <c r="I83" s="8">
        <v>2</v>
      </c>
      <c r="J83" s="8">
        <v>2</v>
      </c>
      <c r="K83" s="8">
        <v>2</v>
      </c>
      <c r="L83" s="8">
        <v>2</v>
      </c>
      <c r="M83" s="8">
        <v>2</v>
      </c>
      <c r="N83" s="8">
        <v>2</v>
      </c>
      <c r="O83" s="8">
        <v>2</v>
      </c>
      <c r="P83" s="8">
        <v>2</v>
      </c>
      <c r="Q83" s="8">
        <v>2</v>
      </c>
      <c r="R83" s="8">
        <v>2</v>
      </c>
      <c r="S83" s="8">
        <v>2</v>
      </c>
      <c r="T83" s="8">
        <v>2</v>
      </c>
      <c r="U83" s="8">
        <v>2</v>
      </c>
      <c r="V83" s="8">
        <v>2</v>
      </c>
      <c r="W83" s="8">
        <v>2</v>
      </c>
      <c r="X83" s="3">
        <v>0</v>
      </c>
      <c r="Y83" s="8">
        <v>0</v>
      </c>
      <c r="Z83" s="8">
        <v>0</v>
      </c>
      <c r="AA83" s="8">
        <v>0</v>
      </c>
      <c r="AB83" s="1"/>
      <c r="AC83" s="1"/>
      <c r="AF83" s="1"/>
      <c r="AG83" s="1"/>
    </row>
    <row r="84" spans="1:33" x14ac:dyDescent="0.2">
      <c r="A84" s="66"/>
      <c r="B84" s="45"/>
      <c r="C84" s="31" t="s">
        <v>188</v>
      </c>
      <c r="D84" s="32"/>
      <c r="E84" s="29" t="s">
        <v>147</v>
      </c>
      <c r="F84" s="30"/>
      <c r="G84" s="27">
        <f t="shared" si="9"/>
        <v>2</v>
      </c>
      <c r="H84" s="27">
        <v>2</v>
      </c>
      <c r="I84" s="8">
        <v>2</v>
      </c>
      <c r="J84" s="8">
        <v>2</v>
      </c>
      <c r="K84" s="8">
        <v>2</v>
      </c>
      <c r="L84" s="8">
        <v>2</v>
      </c>
      <c r="M84" s="8">
        <v>2</v>
      </c>
      <c r="N84" s="8">
        <v>2</v>
      </c>
      <c r="O84" s="8">
        <v>2</v>
      </c>
      <c r="P84" s="8">
        <v>2</v>
      </c>
      <c r="Q84" s="8">
        <v>2</v>
      </c>
      <c r="R84" s="8">
        <v>2</v>
      </c>
      <c r="S84" s="8">
        <v>2</v>
      </c>
      <c r="T84" s="8">
        <v>2</v>
      </c>
      <c r="U84" s="8">
        <v>2</v>
      </c>
      <c r="V84" s="8">
        <v>2</v>
      </c>
      <c r="W84" s="8">
        <v>2</v>
      </c>
      <c r="X84" s="3">
        <v>0</v>
      </c>
      <c r="Y84" s="8">
        <v>0</v>
      </c>
      <c r="Z84" s="8">
        <v>0</v>
      </c>
      <c r="AA84" s="8">
        <v>0</v>
      </c>
      <c r="AB84" s="1"/>
      <c r="AC84" s="1"/>
      <c r="AF84" s="1"/>
      <c r="AG84" s="1"/>
    </row>
    <row r="85" spans="1:33" x14ac:dyDescent="0.2">
      <c r="A85" s="66"/>
      <c r="B85" s="45"/>
      <c r="C85" s="31" t="s">
        <v>190</v>
      </c>
      <c r="D85" s="32"/>
      <c r="E85" s="29" t="s">
        <v>145</v>
      </c>
      <c r="F85" s="30"/>
      <c r="G85" s="27">
        <f t="shared" si="9"/>
        <v>2</v>
      </c>
      <c r="H85" s="27">
        <v>2</v>
      </c>
      <c r="I85" s="8">
        <v>2</v>
      </c>
      <c r="J85" s="8">
        <v>2</v>
      </c>
      <c r="K85" s="8">
        <v>2</v>
      </c>
      <c r="L85" s="8">
        <v>2</v>
      </c>
      <c r="M85" s="8">
        <v>2</v>
      </c>
      <c r="N85" s="8">
        <v>2</v>
      </c>
      <c r="O85" s="8">
        <v>2</v>
      </c>
      <c r="P85" s="8">
        <v>2</v>
      </c>
      <c r="Q85" s="8">
        <v>2</v>
      </c>
      <c r="R85" s="8">
        <v>2</v>
      </c>
      <c r="S85" s="8">
        <v>2</v>
      </c>
      <c r="T85" s="8">
        <v>2</v>
      </c>
      <c r="U85" s="8">
        <v>2</v>
      </c>
      <c r="V85" s="8">
        <v>2</v>
      </c>
      <c r="W85" s="8">
        <v>2</v>
      </c>
      <c r="X85" s="3">
        <v>0</v>
      </c>
      <c r="Y85" s="8">
        <v>0</v>
      </c>
      <c r="Z85" s="8">
        <v>0</v>
      </c>
      <c r="AA85" s="8">
        <v>0</v>
      </c>
      <c r="AB85" s="1"/>
      <c r="AC85" s="1"/>
      <c r="AF85" s="1"/>
      <c r="AG85" s="1"/>
    </row>
    <row r="86" spans="1:33" x14ac:dyDescent="0.2">
      <c r="A86" s="66"/>
      <c r="B86" s="45"/>
      <c r="C86" s="31" t="s">
        <v>67</v>
      </c>
      <c r="D86" s="32"/>
      <c r="E86" s="63" t="s">
        <v>146</v>
      </c>
      <c r="F86" s="63"/>
      <c r="G86" s="27">
        <f t="shared" si="9"/>
        <v>2</v>
      </c>
      <c r="H86" s="27">
        <v>2</v>
      </c>
      <c r="I86" s="8">
        <v>2</v>
      </c>
      <c r="J86" s="8">
        <v>2</v>
      </c>
      <c r="K86" s="8">
        <v>2</v>
      </c>
      <c r="L86" s="8">
        <v>2</v>
      </c>
      <c r="M86" s="8">
        <v>2</v>
      </c>
      <c r="N86" s="8">
        <v>2</v>
      </c>
      <c r="O86" s="8">
        <v>2</v>
      </c>
      <c r="P86" s="8">
        <v>2</v>
      </c>
      <c r="Q86" s="8">
        <v>2</v>
      </c>
      <c r="R86" s="8">
        <v>2</v>
      </c>
      <c r="S86" s="8">
        <v>2</v>
      </c>
      <c r="T86" s="8">
        <v>2</v>
      </c>
      <c r="U86" s="8">
        <v>2</v>
      </c>
      <c r="V86" s="8">
        <v>2</v>
      </c>
      <c r="W86" s="8">
        <v>2</v>
      </c>
      <c r="X86" s="3">
        <v>0</v>
      </c>
      <c r="Y86" s="8">
        <v>0</v>
      </c>
      <c r="Z86" s="8">
        <v>0</v>
      </c>
      <c r="AA86" s="8">
        <v>0</v>
      </c>
      <c r="AB86" s="1"/>
      <c r="AC86" s="1"/>
      <c r="AF86" s="1"/>
      <c r="AG86" s="1"/>
    </row>
    <row r="87" spans="1:33" x14ac:dyDescent="0.2">
      <c r="A87" s="66"/>
      <c r="B87" s="66" t="s">
        <v>30</v>
      </c>
      <c r="C87" s="64" t="s">
        <v>123</v>
      </c>
      <c r="D87" s="64"/>
      <c r="E87" s="30" t="s">
        <v>146</v>
      </c>
      <c r="F87" s="63"/>
      <c r="G87" s="27">
        <f>H87+Y87</f>
        <v>2</v>
      </c>
      <c r="H87" s="27">
        <v>2</v>
      </c>
      <c r="I87" s="8">
        <v>2</v>
      </c>
      <c r="J87" s="8">
        <v>2</v>
      </c>
      <c r="K87" s="8">
        <v>2</v>
      </c>
      <c r="L87" s="8">
        <v>2</v>
      </c>
      <c r="M87" s="8">
        <v>2</v>
      </c>
      <c r="N87" s="8">
        <v>2</v>
      </c>
      <c r="O87" s="8">
        <v>2</v>
      </c>
      <c r="P87" s="8">
        <v>2</v>
      </c>
      <c r="Q87" s="8">
        <v>2</v>
      </c>
      <c r="R87" s="8">
        <v>2</v>
      </c>
      <c r="S87" s="8">
        <v>2</v>
      </c>
      <c r="T87" s="8">
        <v>2</v>
      </c>
      <c r="U87" s="8">
        <v>2</v>
      </c>
      <c r="V87" s="8">
        <v>2</v>
      </c>
      <c r="W87" s="8">
        <v>2</v>
      </c>
      <c r="X87" s="8">
        <v>2</v>
      </c>
      <c r="Y87" s="3">
        <v>0</v>
      </c>
      <c r="Z87" s="8">
        <v>0</v>
      </c>
      <c r="AA87" s="8">
        <v>0</v>
      </c>
      <c r="AB87" s="1"/>
      <c r="AD87" s="1"/>
      <c r="AE87" s="1"/>
    </row>
    <row r="88" spans="1:33" x14ac:dyDescent="0.2">
      <c r="A88" s="66"/>
      <c r="B88" s="66"/>
      <c r="C88" s="64" t="s">
        <v>122</v>
      </c>
      <c r="D88" s="64"/>
      <c r="E88" s="29" t="s">
        <v>149</v>
      </c>
      <c r="F88" s="30"/>
      <c r="G88" s="27">
        <f t="shared" ref="G88:G91" si="10">H88+Y88</f>
        <v>2</v>
      </c>
      <c r="H88" s="27">
        <v>2</v>
      </c>
      <c r="I88" s="8">
        <v>2</v>
      </c>
      <c r="J88" s="8">
        <v>2</v>
      </c>
      <c r="K88" s="8">
        <v>2</v>
      </c>
      <c r="L88" s="8">
        <v>2</v>
      </c>
      <c r="M88" s="8">
        <v>2</v>
      </c>
      <c r="N88" s="8">
        <v>2</v>
      </c>
      <c r="O88" s="8">
        <v>2</v>
      </c>
      <c r="P88" s="8">
        <v>2</v>
      </c>
      <c r="Q88" s="8">
        <v>2</v>
      </c>
      <c r="R88" s="8">
        <v>2</v>
      </c>
      <c r="S88" s="8">
        <v>2</v>
      </c>
      <c r="T88" s="8">
        <v>2</v>
      </c>
      <c r="U88" s="8">
        <v>2</v>
      </c>
      <c r="V88" s="8">
        <v>2</v>
      </c>
      <c r="W88" s="8">
        <v>2</v>
      </c>
      <c r="X88" s="8">
        <v>2</v>
      </c>
      <c r="Y88" s="3">
        <v>0</v>
      </c>
      <c r="Z88" s="8">
        <v>0</v>
      </c>
      <c r="AA88" s="8">
        <v>0</v>
      </c>
      <c r="AB88" s="1"/>
      <c r="AD88" s="1"/>
      <c r="AE88" s="1"/>
    </row>
    <row r="89" spans="1:33" x14ac:dyDescent="0.2">
      <c r="A89" s="66"/>
      <c r="B89" s="66"/>
      <c r="C89" s="64" t="s">
        <v>130</v>
      </c>
      <c r="D89" s="64"/>
      <c r="E89" s="29" t="s">
        <v>148</v>
      </c>
      <c r="F89" s="30"/>
      <c r="G89" s="27">
        <f t="shared" si="10"/>
        <v>2</v>
      </c>
      <c r="H89" s="27">
        <v>2</v>
      </c>
      <c r="I89" s="8">
        <v>2</v>
      </c>
      <c r="J89" s="8">
        <v>2</v>
      </c>
      <c r="K89" s="8">
        <v>2</v>
      </c>
      <c r="L89" s="8">
        <v>2</v>
      </c>
      <c r="M89" s="8">
        <v>2</v>
      </c>
      <c r="N89" s="8">
        <v>2</v>
      </c>
      <c r="O89" s="8">
        <v>2</v>
      </c>
      <c r="P89" s="8">
        <v>2</v>
      </c>
      <c r="Q89" s="8">
        <v>2</v>
      </c>
      <c r="R89" s="8">
        <v>2</v>
      </c>
      <c r="S89" s="8">
        <v>2</v>
      </c>
      <c r="T89" s="8">
        <v>2</v>
      </c>
      <c r="U89" s="8">
        <v>2</v>
      </c>
      <c r="V89" s="8">
        <v>2</v>
      </c>
      <c r="W89" s="8">
        <v>2</v>
      </c>
      <c r="X89" s="8">
        <v>2</v>
      </c>
      <c r="Y89" s="3">
        <v>0</v>
      </c>
      <c r="Z89" s="8">
        <v>0</v>
      </c>
      <c r="AA89" s="8">
        <v>0</v>
      </c>
      <c r="AB89" s="1"/>
      <c r="AD89" s="1"/>
      <c r="AE89" s="1"/>
    </row>
    <row r="90" spans="1:33" x14ac:dyDescent="0.2">
      <c r="A90" s="66"/>
      <c r="B90" s="66"/>
      <c r="C90" s="64" t="s">
        <v>133</v>
      </c>
      <c r="D90" s="64"/>
      <c r="E90" s="29" t="s">
        <v>147</v>
      </c>
      <c r="F90" s="30"/>
      <c r="G90" s="27">
        <f t="shared" si="10"/>
        <v>2</v>
      </c>
      <c r="H90" s="27">
        <v>2</v>
      </c>
      <c r="I90" s="8">
        <v>2</v>
      </c>
      <c r="J90" s="8">
        <v>2</v>
      </c>
      <c r="K90" s="8">
        <v>2</v>
      </c>
      <c r="L90" s="8">
        <v>2</v>
      </c>
      <c r="M90" s="8">
        <v>2</v>
      </c>
      <c r="N90" s="8">
        <v>2</v>
      </c>
      <c r="O90" s="8">
        <v>2</v>
      </c>
      <c r="P90" s="8">
        <v>2</v>
      </c>
      <c r="Q90" s="8">
        <v>2</v>
      </c>
      <c r="R90" s="8">
        <v>2</v>
      </c>
      <c r="S90" s="8">
        <v>2</v>
      </c>
      <c r="T90" s="8">
        <v>2</v>
      </c>
      <c r="U90" s="8">
        <v>2</v>
      </c>
      <c r="V90" s="8">
        <v>2</v>
      </c>
      <c r="W90" s="8">
        <v>2</v>
      </c>
      <c r="X90" s="8">
        <v>2</v>
      </c>
      <c r="Y90" s="3">
        <v>0</v>
      </c>
      <c r="Z90" s="8">
        <v>0</v>
      </c>
      <c r="AA90" s="8">
        <v>0</v>
      </c>
      <c r="AB90" s="1"/>
      <c r="AD90" s="1"/>
      <c r="AE90" s="1"/>
    </row>
    <row r="91" spans="1:33" x14ac:dyDescent="0.2">
      <c r="A91" s="66"/>
      <c r="B91" s="66"/>
      <c r="C91" s="64" t="s">
        <v>136</v>
      </c>
      <c r="D91" s="64"/>
      <c r="E91" s="29" t="s">
        <v>145</v>
      </c>
      <c r="F91" s="30"/>
      <c r="G91" s="27">
        <f t="shared" si="10"/>
        <v>2</v>
      </c>
      <c r="H91" s="27">
        <v>2</v>
      </c>
      <c r="I91" s="8">
        <v>2</v>
      </c>
      <c r="J91" s="8">
        <v>2</v>
      </c>
      <c r="K91" s="8">
        <v>2</v>
      </c>
      <c r="L91" s="8">
        <v>2</v>
      </c>
      <c r="M91" s="8">
        <v>2</v>
      </c>
      <c r="N91" s="8">
        <v>2</v>
      </c>
      <c r="O91" s="8">
        <v>2</v>
      </c>
      <c r="P91" s="8">
        <v>2</v>
      </c>
      <c r="Q91" s="8">
        <v>2</v>
      </c>
      <c r="R91" s="8">
        <v>2</v>
      </c>
      <c r="S91" s="8">
        <v>2</v>
      </c>
      <c r="T91" s="8">
        <v>2</v>
      </c>
      <c r="U91" s="8">
        <v>2</v>
      </c>
      <c r="V91" s="8">
        <v>2</v>
      </c>
      <c r="W91" s="8">
        <v>2</v>
      </c>
      <c r="X91" s="8">
        <v>2</v>
      </c>
      <c r="Y91" s="3">
        <v>0</v>
      </c>
      <c r="Z91" s="8">
        <v>0</v>
      </c>
      <c r="AA91" s="8">
        <v>0</v>
      </c>
      <c r="AB91" s="1"/>
      <c r="AC91" s="23"/>
      <c r="AD91" s="1"/>
      <c r="AE91" s="1"/>
    </row>
    <row r="92" spans="1:33" x14ac:dyDescent="0.2">
      <c r="A92" s="66"/>
      <c r="B92" s="66"/>
      <c r="C92" s="64" t="s">
        <v>139</v>
      </c>
      <c r="D92" s="64"/>
      <c r="E92" s="30" t="s">
        <v>146</v>
      </c>
      <c r="F92" s="63"/>
      <c r="G92" s="27">
        <f>H92+Z92</f>
        <v>2</v>
      </c>
      <c r="H92" s="27">
        <v>2</v>
      </c>
      <c r="I92" s="8">
        <v>2</v>
      </c>
      <c r="J92" s="8">
        <v>2</v>
      </c>
      <c r="K92" s="8">
        <v>2</v>
      </c>
      <c r="L92" s="8">
        <v>2</v>
      </c>
      <c r="M92" s="8">
        <v>2</v>
      </c>
      <c r="N92" s="8">
        <v>2</v>
      </c>
      <c r="O92" s="8">
        <v>2</v>
      </c>
      <c r="P92" s="8">
        <v>2</v>
      </c>
      <c r="Q92" s="8">
        <v>2</v>
      </c>
      <c r="R92" s="8">
        <v>2</v>
      </c>
      <c r="S92" s="8">
        <v>2</v>
      </c>
      <c r="T92" s="8">
        <v>2</v>
      </c>
      <c r="U92" s="8">
        <v>2</v>
      </c>
      <c r="V92" s="8">
        <v>2</v>
      </c>
      <c r="W92" s="8">
        <v>2</v>
      </c>
      <c r="X92" s="8">
        <v>2</v>
      </c>
      <c r="Y92" s="8">
        <v>2</v>
      </c>
      <c r="Z92" s="3">
        <v>0</v>
      </c>
      <c r="AA92" s="8">
        <v>0</v>
      </c>
      <c r="AB92" s="1"/>
      <c r="AC92" s="23"/>
      <c r="AD92" s="1"/>
      <c r="AE92" s="1"/>
    </row>
    <row r="93" spans="1:33" x14ac:dyDescent="0.2">
      <c r="A93" s="66"/>
      <c r="B93" s="66"/>
      <c r="C93" s="64" t="s">
        <v>142</v>
      </c>
      <c r="D93" s="64"/>
      <c r="E93" s="29" t="s">
        <v>149</v>
      </c>
      <c r="F93" s="30"/>
      <c r="G93" s="27">
        <f t="shared" ref="G93:G96" si="11">H93+AA93</f>
        <v>2</v>
      </c>
      <c r="H93" s="27">
        <v>2</v>
      </c>
      <c r="I93" s="8">
        <v>2</v>
      </c>
      <c r="J93" s="8">
        <v>2</v>
      </c>
      <c r="K93" s="8">
        <v>2</v>
      </c>
      <c r="L93" s="8">
        <v>2</v>
      </c>
      <c r="M93" s="8">
        <v>2</v>
      </c>
      <c r="N93" s="8">
        <v>2</v>
      </c>
      <c r="O93" s="8">
        <v>2</v>
      </c>
      <c r="P93" s="8">
        <v>2</v>
      </c>
      <c r="Q93" s="8">
        <v>2</v>
      </c>
      <c r="R93" s="8">
        <v>2</v>
      </c>
      <c r="S93" s="8">
        <v>2</v>
      </c>
      <c r="T93" s="8">
        <v>2</v>
      </c>
      <c r="U93" s="8">
        <v>2</v>
      </c>
      <c r="V93" s="8">
        <v>2</v>
      </c>
      <c r="W93" s="8">
        <v>2</v>
      </c>
      <c r="X93" s="8">
        <v>2</v>
      </c>
      <c r="Y93" s="8">
        <v>2</v>
      </c>
      <c r="Z93" s="3">
        <v>0</v>
      </c>
      <c r="AA93" s="8">
        <v>0</v>
      </c>
      <c r="AB93" s="1"/>
      <c r="AC93" s="1"/>
      <c r="AF93" s="1"/>
      <c r="AG93" s="1"/>
    </row>
    <row r="94" spans="1:33" x14ac:dyDescent="0.2">
      <c r="A94" s="66"/>
      <c r="B94" s="66"/>
      <c r="C94" s="64" t="s">
        <v>69</v>
      </c>
      <c r="D94" s="64"/>
      <c r="E94" s="29" t="s">
        <v>148</v>
      </c>
      <c r="F94" s="30"/>
      <c r="G94" s="27">
        <f t="shared" si="11"/>
        <v>2</v>
      </c>
      <c r="H94" s="27">
        <v>2</v>
      </c>
      <c r="I94" s="8">
        <v>2</v>
      </c>
      <c r="J94" s="8">
        <v>2</v>
      </c>
      <c r="K94" s="8">
        <v>2</v>
      </c>
      <c r="L94" s="8">
        <v>2</v>
      </c>
      <c r="M94" s="8">
        <v>2</v>
      </c>
      <c r="N94" s="8">
        <v>2</v>
      </c>
      <c r="O94" s="8">
        <v>2</v>
      </c>
      <c r="P94" s="8">
        <v>2</v>
      </c>
      <c r="Q94" s="8">
        <v>2</v>
      </c>
      <c r="R94" s="8">
        <v>2</v>
      </c>
      <c r="S94" s="8">
        <v>2</v>
      </c>
      <c r="T94" s="8">
        <v>2</v>
      </c>
      <c r="U94" s="8">
        <v>2</v>
      </c>
      <c r="V94" s="8">
        <v>2</v>
      </c>
      <c r="W94" s="8">
        <v>2</v>
      </c>
      <c r="X94" s="8">
        <v>2</v>
      </c>
      <c r="Y94" s="8">
        <v>2</v>
      </c>
      <c r="Z94" s="3">
        <v>0</v>
      </c>
      <c r="AA94" s="8">
        <v>0</v>
      </c>
      <c r="AB94" s="1"/>
      <c r="AC94" s="1"/>
      <c r="AF94" s="1"/>
      <c r="AG94" s="1"/>
    </row>
    <row r="95" spans="1:33" x14ac:dyDescent="0.2">
      <c r="A95" s="66"/>
      <c r="B95" s="66"/>
      <c r="C95" s="64" t="s">
        <v>191</v>
      </c>
      <c r="D95" s="64"/>
      <c r="E95" s="29" t="s">
        <v>147</v>
      </c>
      <c r="F95" s="30"/>
      <c r="G95" s="27">
        <f t="shared" si="11"/>
        <v>2</v>
      </c>
      <c r="H95" s="27">
        <v>2</v>
      </c>
      <c r="I95" s="8">
        <v>2</v>
      </c>
      <c r="J95" s="8">
        <v>2</v>
      </c>
      <c r="K95" s="8">
        <v>2</v>
      </c>
      <c r="L95" s="8">
        <v>2</v>
      </c>
      <c r="M95" s="8">
        <v>2</v>
      </c>
      <c r="N95" s="8">
        <v>2</v>
      </c>
      <c r="O95" s="8">
        <v>2</v>
      </c>
      <c r="P95" s="8">
        <v>2</v>
      </c>
      <c r="Q95" s="8">
        <v>2</v>
      </c>
      <c r="R95" s="8">
        <v>2</v>
      </c>
      <c r="S95" s="8">
        <v>2</v>
      </c>
      <c r="T95" s="8">
        <v>2</v>
      </c>
      <c r="U95" s="8">
        <v>2</v>
      </c>
      <c r="V95" s="8">
        <v>2</v>
      </c>
      <c r="W95" s="8">
        <v>2</v>
      </c>
      <c r="X95" s="8">
        <v>2</v>
      </c>
      <c r="Y95" s="8">
        <v>2</v>
      </c>
      <c r="Z95" s="3">
        <v>0</v>
      </c>
      <c r="AA95" s="8">
        <v>0</v>
      </c>
      <c r="AB95" s="1"/>
      <c r="AC95" s="1"/>
      <c r="AF95" s="1"/>
      <c r="AG95" s="1"/>
    </row>
    <row r="96" spans="1:33" x14ac:dyDescent="0.2">
      <c r="A96" s="66"/>
      <c r="B96" s="66"/>
      <c r="C96" s="64" t="s">
        <v>70</v>
      </c>
      <c r="D96" s="64"/>
      <c r="E96" s="29" t="s">
        <v>145</v>
      </c>
      <c r="F96" s="30"/>
      <c r="G96" s="27">
        <f t="shared" si="11"/>
        <v>2</v>
      </c>
      <c r="H96" s="27">
        <v>2</v>
      </c>
      <c r="I96" s="8">
        <v>2</v>
      </c>
      <c r="J96" s="8">
        <v>2</v>
      </c>
      <c r="K96" s="8">
        <v>2</v>
      </c>
      <c r="L96" s="8">
        <v>2</v>
      </c>
      <c r="M96" s="8">
        <v>2</v>
      </c>
      <c r="N96" s="8">
        <v>2</v>
      </c>
      <c r="O96" s="8">
        <v>2</v>
      </c>
      <c r="P96" s="8">
        <v>2</v>
      </c>
      <c r="Q96" s="8">
        <v>2</v>
      </c>
      <c r="R96" s="8">
        <v>2</v>
      </c>
      <c r="S96" s="8">
        <v>2</v>
      </c>
      <c r="T96" s="8">
        <v>2</v>
      </c>
      <c r="U96" s="8">
        <v>2</v>
      </c>
      <c r="V96" s="8">
        <v>2</v>
      </c>
      <c r="W96" s="8">
        <v>2</v>
      </c>
      <c r="X96" s="8">
        <v>2</v>
      </c>
      <c r="Y96" s="8">
        <v>2</v>
      </c>
      <c r="Z96" s="3">
        <v>0</v>
      </c>
      <c r="AA96" s="8">
        <v>0</v>
      </c>
      <c r="AB96" s="1"/>
      <c r="AC96" s="1"/>
      <c r="AF96" s="1"/>
      <c r="AG96" s="1"/>
    </row>
    <row r="97" spans="1:40" x14ac:dyDescent="0.2">
      <c r="A97" s="66"/>
      <c r="B97" s="66" t="s">
        <v>62</v>
      </c>
      <c r="C97" s="64" t="s">
        <v>60</v>
      </c>
      <c r="D97" s="64"/>
      <c r="E97" s="67" t="s">
        <v>19</v>
      </c>
      <c r="F97" s="67"/>
      <c r="G97" s="27">
        <f>H97+AA97</f>
        <v>10</v>
      </c>
      <c r="H97" s="27">
        <v>10</v>
      </c>
      <c r="I97" s="8">
        <v>10</v>
      </c>
      <c r="J97" s="8">
        <v>10</v>
      </c>
      <c r="K97" s="8">
        <v>10</v>
      </c>
      <c r="L97" s="8">
        <v>10</v>
      </c>
      <c r="M97" s="8">
        <v>10</v>
      </c>
      <c r="N97" s="8">
        <v>10</v>
      </c>
      <c r="O97" s="8">
        <v>10</v>
      </c>
      <c r="P97" s="8">
        <v>10</v>
      </c>
      <c r="Q97" s="8">
        <v>10</v>
      </c>
      <c r="R97" s="8">
        <v>10</v>
      </c>
      <c r="S97" s="8">
        <v>10</v>
      </c>
      <c r="T97" s="8">
        <v>10</v>
      </c>
      <c r="U97" s="8">
        <v>10</v>
      </c>
      <c r="V97" s="8">
        <v>10</v>
      </c>
      <c r="W97" s="8">
        <v>10</v>
      </c>
      <c r="X97" s="8">
        <v>10</v>
      </c>
      <c r="Y97" s="8">
        <v>10</v>
      </c>
      <c r="Z97" s="8">
        <v>10</v>
      </c>
      <c r="AA97" s="3">
        <v>0</v>
      </c>
      <c r="AB97" s="1"/>
      <c r="AC97" s="1"/>
      <c r="AG97" s="1"/>
    </row>
    <row r="98" spans="1:40" x14ac:dyDescent="0.2">
      <c r="A98" s="66"/>
      <c r="B98" s="66"/>
      <c r="C98" s="64" t="s">
        <v>61</v>
      </c>
      <c r="D98" s="64"/>
      <c r="E98" s="67" t="s">
        <v>19</v>
      </c>
      <c r="F98" s="67"/>
      <c r="G98" s="27">
        <f>H98+AA98</f>
        <v>10</v>
      </c>
      <c r="H98" s="27">
        <v>10</v>
      </c>
      <c r="I98" s="8">
        <v>10</v>
      </c>
      <c r="J98" s="8">
        <v>10</v>
      </c>
      <c r="K98" s="8">
        <v>10</v>
      </c>
      <c r="L98" s="8">
        <v>10</v>
      </c>
      <c r="M98" s="8">
        <v>10</v>
      </c>
      <c r="N98" s="8">
        <v>10</v>
      </c>
      <c r="O98" s="8">
        <v>10</v>
      </c>
      <c r="P98" s="8">
        <v>10</v>
      </c>
      <c r="Q98" s="8">
        <v>10</v>
      </c>
      <c r="R98" s="8">
        <v>10</v>
      </c>
      <c r="S98" s="8">
        <v>10</v>
      </c>
      <c r="T98" s="8">
        <v>10</v>
      </c>
      <c r="U98" s="8">
        <v>10</v>
      </c>
      <c r="V98" s="8">
        <v>10</v>
      </c>
      <c r="W98" s="8">
        <v>10</v>
      </c>
      <c r="X98" s="8">
        <v>10</v>
      </c>
      <c r="Y98" s="8">
        <v>10</v>
      </c>
      <c r="Z98" s="8">
        <v>10</v>
      </c>
      <c r="AA98" s="3">
        <v>0</v>
      </c>
      <c r="AB98" s="1"/>
      <c r="AC98" s="1"/>
      <c r="AG98" s="1"/>
    </row>
    <row r="99" spans="1:40" x14ac:dyDescent="0.2">
      <c r="A99" s="66"/>
      <c r="B99" s="58" t="s">
        <v>13</v>
      </c>
      <c r="C99" s="58"/>
      <c r="D99" s="58"/>
      <c r="E99" s="47" t="s">
        <v>11</v>
      </c>
      <c r="F99" s="47"/>
      <c r="G99" s="47">
        <f>SUM(G16:G98)</f>
        <v>203</v>
      </c>
      <c r="H99" s="47"/>
      <c r="I99" s="9">
        <f t="shared" ref="I99:N99" si="12">SUM(I16:I98)</f>
        <v>190</v>
      </c>
      <c r="J99" s="9">
        <f t="shared" si="12"/>
        <v>180</v>
      </c>
      <c r="K99" s="9">
        <f t="shared" si="12"/>
        <v>170</v>
      </c>
      <c r="L99" s="9">
        <f t="shared" si="12"/>
        <v>160</v>
      </c>
      <c r="M99" s="9">
        <f t="shared" si="12"/>
        <v>150</v>
      </c>
      <c r="N99" s="9">
        <f t="shared" si="12"/>
        <v>140</v>
      </c>
      <c r="O99" s="9">
        <f>SUM(O16:O98)+O36</f>
        <v>132</v>
      </c>
      <c r="P99" s="9">
        <f>SUM(P16:P98)+P42</f>
        <v>118</v>
      </c>
      <c r="Q99" s="9">
        <f>SUM(Q16:Q98)</f>
        <v>110</v>
      </c>
      <c r="R99" s="9">
        <f>SUM(R16:R98)+R49</f>
        <v>104</v>
      </c>
      <c r="S99" s="9">
        <f>SUM(S16:S98)+S59</f>
        <v>92</v>
      </c>
      <c r="T99" s="9">
        <f>SUM(T16:T98)</f>
        <v>80</v>
      </c>
      <c r="U99" s="9">
        <f>SUM(U16:U98)+U66+U71</f>
        <v>70</v>
      </c>
      <c r="V99" s="9">
        <f>SUM(V16:V98)+V71</f>
        <v>60</v>
      </c>
      <c r="W99" s="9">
        <f>SUM(W16:W98)</f>
        <v>50</v>
      </c>
      <c r="X99" s="9">
        <f>SUM(X16:X98)</f>
        <v>40</v>
      </c>
      <c r="Y99" s="9">
        <f>SUM(Y16:Y98)</f>
        <v>30</v>
      </c>
      <c r="Z99" s="9">
        <f>SUM(Z16:Z98)</f>
        <v>20</v>
      </c>
      <c r="AA99" s="9">
        <f>SUM(AA16:AA98)</f>
        <v>0</v>
      </c>
      <c r="AB99" s="1"/>
      <c r="AC99" s="1"/>
      <c r="AG99" s="1"/>
    </row>
    <row r="100" spans="1:40" x14ac:dyDescent="0.2">
      <c r="A100" s="66"/>
      <c r="B100" s="58"/>
      <c r="C100" s="58"/>
      <c r="D100" s="58"/>
      <c r="E100" s="47" t="s">
        <v>12</v>
      </c>
      <c r="F100" s="47"/>
      <c r="G100" s="47">
        <f>SUM(H16:H98)</f>
        <v>200</v>
      </c>
      <c r="H100" s="47"/>
      <c r="I100" s="9">
        <f t="shared" ref="I100:AA100" si="13">SUM(I16:I98)</f>
        <v>190</v>
      </c>
      <c r="J100" s="9">
        <f t="shared" si="13"/>
        <v>180</v>
      </c>
      <c r="K100" s="9">
        <f t="shared" si="13"/>
        <v>170</v>
      </c>
      <c r="L100" s="9">
        <f t="shared" si="13"/>
        <v>160</v>
      </c>
      <c r="M100" s="9">
        <f t="shared" si="13"/>
        <v>150</v>
      </c>
      <c r="N100" s="9">
        <f t="shared" si="13"/>
        <v>140</v>
      </c>
      <c r="O100" s="9">
        <f t="shared" si="13"/>
        <v>131</v>
      </c>
      <c r="P100" s="9">
        <f t="shared" si="13"/>
        <v>119</v>
      </c>
      <c r="Q100" s="9">
        <f t="shared" si="13"/>
        <v>110</v>
      </c>
      <c r="R100" s="9">
        <f t="shared" si="13"/>
        <v>102</v>
      </c>
      <c r="S100" s="9">
        <f t="shared" si="13"/>
        <v>91</v>
      </c>
      <c r="T100" s="9">
        <f t="shared" si="13"/>
        <v>80</v>
      </c>
      <c r="U100" s="9">
        <f t="shared" si="13"/>
        <v>70</v>
      </c>
      <c r="V100" s="9">
        <f t="shared" si="13"/>
        <v>60</v>
      </c>
      <c r="W100" s="9">
        <f t="shared" si="13"/>
        <v>50</v>
      </c>
      <c r="X100" s="9">
        <f t="shared" si="13"/>
        <v>40</v>
      </c>
      <c r="Y100" s="9">
        <f t="shared" si="13"/>
        <v>30</v>
      </c>
      <c r="Z100" s="9">
        <f t="shared" si="13"/>
        <v>20</v>
      </c>
      <c r="AA100" s="9">
        <f t="shared" si="13"/>
        <v>0</v>
      </c>
      <c r="AB100" s="1"/>
      <c r="AC100" s="1"/>
      <c r="AG100" s="1"/>
    </row>
    <row r="101" spans="1:40" x14ac:dyDescent="0.2">
      <c r="A101" s="1"/>
      <c r="B101" s="1"/>
      <c r="C101" s="1"/>
      <c r="D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AG101" s="1"/>
    </row>
    <row r="102" spans="1:40" x14ac:dyDescent="0.2">
      <c r="A102" s="1"/>
      <c r="B102" s="1"/>
      <c r="C102" s="1"/>
      <c r="D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spans="1:40" x14ac:dyDescent="0.2">
      <c r="A103" s="1"/>
      <c r="B103" s="1"/>
      <c r="C103" s="1"/>
      <c r="D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spans="1:40" x14ac:dyDescent="0.2">
      <c r="A104" s="1"/>
      <c r="B104" s="1"/>
      <c r="C104" s="1"/>
      <c r="D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spans="1:40" x14ac:dyDescent="0.2">
      <c r="A105" s="1"/>
      <c r="B105" s="1"/>
      <c r="C105" s="1"/>
      <c r="D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spans="1:40" x14ac:dyDescent="0.2">
      <c r="A106" s="1"/>
      <c r="B106" s="1"/>
      <c r="C106" s="1"/>
      <c r="D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spans="1:40" x14ac:dyDescent="0.2">
      <c r="A107" s="1"/>
      <c r="B107" s="1"/>
      <c r="C107" s="1"/>
      <c r="D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 spans="1:40" x14ac:dyDescent="0.2">
      <c r="A108" s="1"/>
      <c r="B108" s="1"/>
      <c r="C108" s="1"/>
      <c r="D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 spans="1:40" x14ac:dyDescent="0.2">
      <c r="A109" s="1"/>
      <c r="B109" s="1"/>
      <c r="C109" s="1"/>
      <c r="D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spans="1:40" x14ac:dyDescent="0.2">
      <c r="A110" s="1"/>
      <c r="B110" s="1"/>
      <c r="C110" s="1"/>
      <c r="D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 spans="1:40" x14ac:dyDescent="0.25">
      <c r="A111" s="1"/>
      <c r="B111" s="1"/>
      <c r="C111" s="1"/>
      <c r="D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</row>
    <row r="112" spans="1:40" x14ac:dyDescent="0.25">
      <c r="A112" s="1"/>
      <c r="B112" s="1"/>
      <c r="C112" s="1"/>
      <c r="D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</row>
    <row r="113" spans="1:40" x14ac:dyDescent="0.25">
      <c r="A113" s="1"/>
      <c r="B113" s="1"/>
      <c r="C113" s="1"/>
      <c r="D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</row>
    <row r="114" spans="1:40" x14ac:dyDescent="0.25">
      <c r="A114" s="1"/>
      <c r="B114" s="1"/>
      <c r="C114" s="1"/>
      <c r="D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</row>
    <row r="115" spans="1:40" x14ac:dyDescent="0.25">
      <c r="A115" s="1"/>
      <c r="B115" s="1"/>
      <c r="C115" s="1"/>
      <c r="D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</row>
    <row r="116" spans="1:40" x14ac:dyDescent="0.25">
      <c r="A116" s="1"/>
      <c r="B116" s="1"/>
      <c r="C116" s="1"/>
      <c r="D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</row>
    <row r="117" spans="1:40" x14ac:dyDescent="0.25">
      <c r="A117" s="1"/>
      <c r="B117" s="1"/>
      <c r="C117" s="1"/>
      <c r="D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</row>
    <row r="118" spans="1:40" x14ac:dyDescent="0.25">
      <c r="A118" s="1"/>
      <c r="B118" s="1"/>
      <c r="C118" s="1"/>
      <c r="D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</row>
    <row r="119" spans="1:40" x14ac:dyDescent="0.25">
      <c r="A119" s="1"/>
      <c r="B119" s="1"/>
      <c r="C119" s="1"/>
      <c r="D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</row>
    <row r="120" spans="1:40" x14ac:dyDescent="0.25">
      <c r="A120" s="1"/>
      <c r="B120" s="1"/>
      <c r="C120" s="1"/>
      <c r="D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</row>
    <row r="121" spans="1:40" x14ac:dyDescent="0.25">
      <c r="A121" s="1"/>
      <c r="B121" s="1"/>
      <c r="C121" s="1"/>
      <c r="D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</row>
    <row r="122" spans="1:40" x14ac:dyDescent="0.25">
      <c r="A122" s="1"/>
      <c r="B122" s="1"/>
      <c r="C122" s="1"/>
      <c r="D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</row>
    <row r="123" spans="1:40" x14ac:dyDescent="0.25">
      <c r="A123" s="1"/>
      <c r="B123" s="1"/>
      <c r="C123" s="1"/>
      <c r="D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</row>
    <row r="124" spans="1:40" x14ac:dyDescent="0.25">
      <c r="A124" s="1"/>
      <c r="B124" s="1"/>
      <c r="C124" s="1"/>
      <c r="D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</row>
    <row r="125" spans="1:40" x14ac:dyDescent="0.25">
      <c r="A125" s="1"/>
      <c r="B125" s="1"/>
      <c r="C125" s="1"/>
      <c r="D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</row>
    <row r="126" spans="1:40" x14ac:dyDescent="0.25">
      <c r="A126" s="1"/>
      <c r="B126" s="1"/>
      <c r="C126" s="1"/>
      <c r="D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</row>
    <row r="127" spans="1:40" x14ac:dyDescent="0.25">
      <c r="A127" s="1"/>
      <c r="B127" s="1"/>
      <c r="C127" s="1"/>
      <c r="D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 t="s">
        <v>242</v>
      </c>
      <c r="AA127" s="24" t="s">
        <v>243</v>
      </c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</row>
    <row r="128" spans="1:40" x14ac:dyDescent="0.25">
      <c r="A128" s="1"/>
      <c r="B128" s="1"/>
      <c r="C128" s="1"/>
      <c r="D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</row>
    <row r="129" spans="1:40" x14ac:dyDescent="0.25">
      <c r="A129" s="1"/>
      <c r="B129" s="1"/>
      <c r="C129" s="1"/>
      <c r="D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</row>
    <row r="130" spans="1:40" x14ac:dyDescent="0.25">
      <c r="A130" s="1"/>
      <c r="B130" s="1"/>
      <c r="C130" s="1"/>
      <c r="D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</row>
    <row r="131" spans="1:40" x14ac:dyDescent="0.25">
      <c r="A131" s="1"/>
      <c r="B131" s="1"/>
      <c r="C131" s="1"/>
      <c r="D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</row>
    <row r="132" spans="1:40" x14ac:dyDescent="0.25">
      <c r="A132" s="1"/>
      <c r="B132" s="1"/>
      <c r="C132" s="1"/>
      <c r="D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</row>
    <row r="133" spans="1:40" x14ac:dyDescent="0.25">
      <c r="A133" s="1"/>
      <c r="B133" s="1"/>
      <c r="C133" s="1"/>
      <c r="D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</row>
    <row r="134" spans="1:40" x14ac:dyDescent="0.25">
      <c r="A134" s="1"/>
      <c r="B134" s="1"/>
      <c r="C134" s="1"/>
      <c r="D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</row>
    <row r="135" spans="1:40" x14ac:dyDescent="0.25">
      <c r="A135" s="1"/>
      <c r="B135" s="1"/>
      <c r="C135" s="1"/>
      <c r="D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</row>
    <row r="136" spans="1:40" x14ac:dyDescent="0.25"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</row>
  </sheetData>
  <mergeCells count="194">
    <mergeCell ref="A1:B1"/>
    <mergeCell ref="C1:G1"/>
    <mergeCell ref="A2:B2"/>
    <mergeCell ref="C2:G2"/>
    <mergeCell ref="A3:B3"/>
    <mergeCell ref="C3:G3"/>
    <mergeCell ref="E24:F24"/>
    <mergeCell ref="C25:D25"/>
    <mergeCell ref="E25:F25"/>
    <mergeCell ref="C22:D22"/>
    <mergeCell ref="B13:C13"/>
    <mergeCell ref="C15:D15"/>
    <mergeCell ref="E15:F15"/>
    <mergeCell ref="A16:A100"/>
    <mergeCell ref="B16:D16"/>
    <mergeCell ref="E16:F16"/>
    <mergeCell ref="B17:D17"/>
    <mergeCell ref="C36:D36"/>
    <mergeCell ref="E36:F36"/>
    <mergeCell ref="B43:B66"/>
    <mergeCell ref="C66:D66"/>
    <mergeCell ref="E66:F66"/>
    <mergeCell ref="E17:F17"/>
    <mergeCell ref="B18:D18"/>
    <mergeCell ref="C54:D54"/>
    <mergeCell ref="C55:D55"/>
    <mergeCell ref="K3:M3"/>
    <mergeCell ref="A4:B4"/>
    <mergeCell ref="C4:G4"/>
    <mergeCell ref="K4:M4"/>
    <mergeCell ref="K5:M5"/>
    <mergeCell ref="B6:E6"/>
    <mergeCell ref="E18:F18"/>
    <mergeCell ref="C34:D34"/>
    <mergeCell ref="C37:D37"/>
    <mergeCell ref="B19:B29"/>
    <mergeCell ref="C19:D19"/>
    <mergeCell ref="E19:F19"/>
    <mergeCell ref="C20:D20"/>
    <mergeCell ref="E20:F20"/>
    <mergeCell ref="C21:D21"/>
    <mergeCell ref="E21:F21"/>
    <mergeCell ref="E22:F22"/>
    <mergeCell ref="C26:D26"/>
    <mergeCell ref="E26:F26"/>
    <mergeCell ref="C27:D27"/>
    <mergeCell ref="E27:F27"/>
    <mergeCell ref="C28:D28"/>
    <mergeCell ref="E28:F28"/>
    <mergeCell ref="C23:D23"/>
    <mergeCell ref="E23:F23"/>
    <mergeCell ref="C24:D24"/>
    <mergeCell ref="E89:F89"/>
    <mergeCell ref="C29:D29"/>
    <mergeCell ref="E29:F29"/>
    <mergeCell ref="C30:D30"/>
    <mergeCell ref="E30:F30"/>
    <mergeCell ref="C31:D31"/>
    <mergeCell ref="E31:F31"/>
    <mergeCell ref="C32:D32"/>
    <mergeCell ref="C57:D57"/>
    <mergeCell ref="E57:F57"/>
    <mergeCell ref="E44:F44"/>
    <mergeCell ref="E45:F45"/>
    <mergeCell ref="E46:F46"/>
    <mergeCell ref="E47:F47"/>
    <mergeCell ref="E48:F48"/>
    <mergeCell ref="E50:F50"/>
    <mergeCell ref="E51:F51"/>
    <mergeCell ref="C49:D49"/>
    <mergeCell ref="E32:F32"/>
    <mergeCell ref="E70:F70"/>
    <mergeCell ref="C33:D33"/>
    <mergeCell ref="E53:F53"/>
    <mergeCell ref="C35:D35"/>
    <mergeCell ref="E35:F35"/>
    <mergeCell ref="E37:F37"/>
    <mergeCell ref="C38:D38"/>
    <mergeCell ref="E38:F38"/>
    <mergeCell ref="C39:D39"/>
    <mergeCell ref="E39:F39"/>
    <mergeCell ref="E43:F43"/>
    <mergeCell ref="E49:F49"/>
    <mergeCell ref="C50:D50"/>
    <mergeCell ref="C51:D51"/>
    <mergeCell ref="C52:D52"/>
    <mergeCell ref="C53:D53"/>
    <mergeCell ref="C58:D58"/>
    <mergeCell ref="E58:F58"/>
    <mergeCell ref="C64:D64"/>
    <mergeCell ref="E33:F33"/>
    <mergeCell ref="E34:F34"/>
    <mergeCell ref="E54:F54"/>
    <mergeCell ref="C81:D81"/>
    <mergeCell ref="E81:F81"/>
    <mergeCell ref="E73:F73"/>
    <mergeCell ref="C62:D62"/>
    <mergeCell ref="E62:F62"/>
    <mergeCell ref="C71:D71"/>
    <mergeCell ref="E71:F71"/>
    <mergeCell ref="C65:D65"/>
    <mergeCell ref="E65:F65"/>
    <mergeCell ref="C63:D63"/>
    <mergeCell ref="E63:F63"/>
    <mergeCell ref="C69:D69"/>
    <mergeCell ref="C70:D70"/>
    <mergeCell ref="E69:F69"/>
    <mergeCell ref="C77:D77"/>
    <mergeCell ref="E77:F77"/>
    <mergeCell ref="C78:D78"/>
    <mergeCell ref="E78:F78"/>
    <mergeCell ref="C79:D79"/>
    <mergeCell ref="B67:B76"/>
    <mergeCell ref="C82:D82"/>
    <mergeCell ref="E82:F82"/>
    <mergeCell ref="C74:D74"/>
    <mergeCell ref="E74:F74"/>
    <mergeCell ref="C75:D75"/>
    <mergeCell ref="E75:F75"/>
    <mergeCell ref="C76:D76"/>
    <mergeCell ref="E76:F76"/>
    <mergeCell ref="C67:D67"/>
    <mergeCell ref="E67:F67"/>
    <mergeCell ref="C68:D68"/>
    <mergeCell ref="E68:F68"/>
    <mergeCell ref="C72:D72"/>
    <mergeCell ref="E72:F72"/>
    <mergeCell ref="C73:D73"/>
    <mergeCell ref="B77:B86"/>
    <mergeCell ref="C83:D83"/>
    <mergeCell ref="E83:F83"/>
    <mergeCell ref="C84:D84"/>
    <mergeCell ref="E84:F84"/>
    <mergeCell ref="E79:F79"/>
    <mergeCell ref="C80:D80"/>
    <mergeCell ref="E80:F80"/>
    <mergeCell ref="B87:B96"/>
    <mergeCell ref="E93:F93"/>
    <mergeCell ref="C94:D94"/>
    <mergeCell ref="E94:F94"/>
    <mergeCell ref="C95:D95"/>
    <mergeCell ref="E95:F95"/>
    <mergeCell ref="C96:D96"/>
    <mergeCell ref="E96:F96"/>
    <mergeCell ref="C85:D85"/>
    <mergeCell ref="E85:F85"/>
    <mergeCell ref="C86:D86"/>
    <mergeCell ref="E86:F86"/>
    <mergeCell ref="C87:D87"/>
    <mergeCell ref="E87:F87"/>
    <mergeCell ref="C88:D88"/>
    <mergeCell ref="E88:F88"/>
    <mergeCell ref="C93:D93"/>
    <mergeCell ref="C90:D90"/>
    <mergeCell ref="E90:F90"/>
    <mergeCell ref="E91:F91"/>
    <mergeCell ref="E92:F92"/>
    <mergeCell ref="C89:D89"/>
    <mergeCell ref="C91:D91"/>
    <mergeCell ref="C92:D92"/>
    <mergeCell ref="B99:D100"/>
    <mergeCell ref="E99:F99"/>
    <mergeCell ref="G99:H99"/>
    <mergeCell ref="E100:F100"/>
    <mergeCell ref="G100:H100"/>
    <mergeCell ref="B97:B98"/>
    <mergeCell ref="C97:D97"/>
    <mergeCell ref="E97:F97"/>
    <mergeCell ref="C98:D98"/>
    <mergeCell ref="E98:F98"/>
    <mergeCell ref="E64:F64"/>
    <mergeCell ref="C59:D59"/>
    <mergeCell ref="E59:F59"/>
    <mergeCell ref="B30:B42"/>
    <mergeCell ref="C42:D42"/>
    <mergeCell ref="E42:F42"/>
    <mergeCell ref="C43:D43"/>
    <mergeCell ref="C44:D44"/>
    <mergeCell ref="C45:D45"/>
    <mergeCell ref="C46:D46"/>
    <mergeCell ref="C47:D47"/>
    <mergeCell ref="C48:D48"/>
    <mergeCell ref="C60:D60"/>
    <mergeCell ref="E60:F60"/>
    <mergeCell ref="C61:D61"/>
    <mergeCell ref="E61:F61"/>
    <mergeCell ref="C40:D40"/>
    <mergeCell ref="E40:F40"/>
    <mergeCell ref="C41:D41"/>
    <mergeCell ref="E41:F41"/>
    <mergeCell ref="E55:F55"/>
    <mergeCell ref="E52:F52"/>
    <mergeCell ref="C56:D56"/>
    <mergeCell ref="E56:F56"/>
  </mergeCells>
  <pageMargins left="1.17" right="0.27559055118110237" top="0.51181102362204722" bottom="0.74803149606299213" header="0.31496062992125984" footer="0.31496062992125984"/>
  <pageSetup paperSize="8" scale="7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33"/>
  <sheetViews>
    <sheetView topLeftCell="A57" zoomScale="55" zoomScaleNormal="55" workbookViewId="0">
      <selection activeCell="I95" sqref="I95"/>
    </sheetView>
  </sheetViews>
  <sheetFormatPr defaultColWidth="8.875" defaultRowHeight="14.25" x14ac:dyDescent="0.2"/>
  <cols>
    <col min="1" max="1" width="8.875" style="2"/>
    <col min="2" max="2" width="17.25" style="2" customWidth="1"/>
    <col min="3" max="3" width="33.125" style="11" customWidth="1"/>
    <col min="4" max="4" width="24.25" style="2" customWidth="1"/>
    <col min="5" max="5" width="11.75" style="2" customWidth="1"/>
    <col min="6" max="8" width="8.875" style="2"/>
    <col min="9" max="28" width="5.75" style="2" customWidth="1"/>
    <col min="29" max="16384" width="8.875" style="2"/>
  </cols>
  <sheetData>
    <row r="1" spans="1:33" ht="27" customHeight="1" x14ac:dyDescent="0.2">
      <c r="A1" s="68" t="s">
        <v>0</v>
      </c>
      <c r="B1" s="68"/>
      <c r="C1" s="48" t="s">
        <v>34</v>
      </c>
      <c r="D1" s="50"/>
      <c r="E1" s="50"/>
      <c r="F1" s="50"/>
      <c r="G1" s="49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6.5" x14ac:dyDescent="0.2">
      <c r="A2" s="68" t="s">
        <v>2</v>
      </c>
      <c r="B2" s="68"/>
      <c r="C2" s="48" t="s">
        <v>51</v>
      </c>
      <c r="D2" s="50"/>
      <c r="E2" s="50"/>
      <c r="F2" s="50"/>
      <c r="G2" s="49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6.5" x14ac:dyDescent="0.2">
      <c r="A3" s="68" t="s">
        <v>5</v>
      </c>
      <c r="B3" s="68"/>
      <c r="C3" s="51">
        <v>46131</v>
      </c>
      <c r="D3" s="52"/>
      <c r="E3" s="52"/>
      <c r="F3" s="52"/>
      <c r="G3" s="53"/>
      <c r="I3" s="1"/>
      <c r="J3" s="3"/>
      <c r="K3" s="46" t="s">
        <v>1</v>
      </c>
      <c r="L3" s="46"/>
      <c r="M3" s="46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ht="16.5" x14ac:dyDescent="0.2">
      <c r="A4" s="68" t="s">
        <v>7</v>
      </c>
      <c r="B4" s="68"/>
      <c r="C4" s="51">
        <v>46150</v>
      </c>
      <c r="D4" s="52"/>
      <c r="E4" s="52"/>
      <c r="F4" s="52"/>
      <c r="G4" s="53"/>
      <c r="H4" s="1"/>
      <c r="I4" s="1"/>
      <c r="J4" s="4"/>
      <c r="K4" s="46" t="s">
        <v>4</v>
      </c>
      <c r="L4" s="46"/>
      <c r="M4" s="46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6.5" x14ac:dyDescent="0.2">
      <c r="A5" s="1"/>
      <c r="B5" s="1"/>
      <c r="C5" s="10"/>
      <c r="D5" s="1"/>
      <c r="E5" s="1"/>
      <c r="F5" s="1"/>
      <c r="G5" s="1"/>
      <c r="H5" s="1"/>
      <c r="I5" s="1"/>
      <c r="J5" s="5"/>
      <c r="K5" s="46" t="s">
        <v>6</v>
      </c>
      <c r="L5" s="46"/>
      <c r="M5" s="46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16.5" x14ac:dyDescent="0.2">
      <c r="A6" s="1"/>
      <c r="B6" s="58" t="s">
        <v>52</v>
      </c>
      <c r="C6" s="58"/>
      <c r="D6" s="58"/>
      <c r="E6" s="58"/>
      <c r="F6" s="1"/>
      <c r="G6" s="1"/>
      <c r="H6" s="1"/>
      <c r="I6" s="1"/>
      <c r="J6" s="1"/>
      <c r="K6" s="1"/>
      <c r="L6" s="1"/>
      <c r="M6" s="1"/>
      <c r="N6" s="1"/>
      <c r="O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6.5" x14ac:dyDescent="0.2">
      <c r="A7" s="1"/>
      <c r="B7" s="22" t="s">
        <v>9</v>
      </c>
      <c r="C7" s="22" t="s">
        <v>10</v>
      </c>
      <c r="D7" s="22" t="s">
        <v>11</v>
      </c>
      <c r="E7" s="22" t="s">
        <v>12</v>
      </c>
      <c r="F7" s="1"/>
      <c r="G7" s="1"/>
      <c r="H7" s="1"/>
      <c r="I7" s="1"/>
      <c r="J7" s="1"/>
      <c r="K7" s="1"/>
      <c r="L7" s="1"/>
      <c r="M7" s="1"/>
      <c r="N7" s="1"/>
      <c r="O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6.5" x14ac:dyDescent="0.2">
      <c r="A8" s="1"/>
      <c r="B8" s="9">
        <v>1</v>
      </c>
      <c r="C8" s="25" t="s">
        <v>35</v>
      </c>
      <c r="D8" s="9">
        <f ca="1">SUMIF(E15:F96,"Cường",G15:G96)+SUMIF(E15:F96,"Vy, Thi, Cường",G15:G96)/3+SUMIF(E15:F96,"All team",G15:G96)/5</f>
        <v>42.8</v>
      </c>
      <c r="E8" s="9">
        <f ca="1">SUMIF(E15:F96,"Cường",H15:H96)+SUMIF(E15:F96,"Vy, Thi, Cường",H15:H96)/3+SUMIF(E15:F96,"All team",H15:H96)/5+SUMIF(E15:F96,"Cường, Ly",H15:H96)/2</f>
        <v>40</v>
      </c>
      <c r="F8" s="1"/>
      <c r="G8" s="1"/>
      <c r="H8" s="1"/>
      <c r="I8" s="1"/>
      <c r="J8" s="1"/>
      <c r="K8" s="1"/>
      <c r="L8" s="1"/>
      <c r="M8" s="1"/>
      <c r="N8" s="1"/>
      <c r="O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6.5" x14ac:dyDescent="0.2">
      <c r="A9" s="1"/>
      <c r="B9" s="9">
        <v>2</v>
      </c>
      <c r="C9" s="25" t="s">
        <v>36</v>
      </c>
      <c r="D9" s="9">
        <f ca="1">SUMIF(E15:F96,"Ly",G15:G96)+SUMIF(E15:F96,"Yên, Ly",G15:G96)/2+SUMIF(E15:F96,"All team",G15:G96)/5</f>
        <v>41.8</v>
      </c>
      <c r="E9" s="9">
        <f ca="1">SUMIF(E15:F96,"Ly",H15:H96)+SUMIF(E15:F96,"Yên, Ly",H15:H96)/2+SUMIF(E15:F96,"All team",H15:H96)/5+SUMIF(E15:F96,"Cường, Ly",H15:H96)/2</f>
        <v>40</v>
      </c>
      <c r="F9" s="1"/>
      <c r="G9" s="1"/>
      <c r="H9" s="1"/>
      <c r="I9" s="1"/>
      <c r="J9" s="1"/>
      <c r="K9" s="1"/>
      <c r="L9" s="1"/>
      <c r="M9" s="1"/>
      <c r="N9" s="1"/>
      <c r="O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6.5" x14ac:dyDescent="0.2">
      <c r="A10" s="1"/>
      <c r="B10" s="9">
        <v>3</v>
      </c>
      <c r="C10" s="25" t="s">
        <v>37</v>
      </c>
      <c r="D10" s="9">
        <f ca="1">SUMIF(E15:F96,"Thi",G15:G96)+SUMIF(E15:F96,"Vy, Thi, Cường",G15:G96)/3+SUMIF(E15:F96,"All team",G15:G96)/5</f>
        <v>42.8</v>
      </c>
      <c r="E10" s="9">
        <f ca="1">SUMIF(E15:F96,"Thi",H15:H96)+SUMIF(E15:F96,"Vy, Thi, Cường",H15:H96)/3+SUMIF(E15:F96,"All team",H15:H96)/5</f>
        <v>40</v>
      </c>
      <c r="F10" s="1"/>
      <c r="G10" s="1"/>
      <c r="H10" s="1"/>
      <c r="I10" s="1"/>
      <c r="J10" s="1"/>
      <c r="K10" s="1"/>
      <c r="L10" s="1"/>
      <c r="M10" s="1"/>
      <c r="N10" s="1"/>
      <c r="O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6.5" x14ac:dyDescent="0.2">
      <c r="A11" s="1"/>
      <c r="B11" s="9">
        <v>4</v>
      </c>
      <c r="C11" s="25" t="s">
        <v>39</v>
      </c>
      <c r="D11" s="9">
        <f ca="1">SUMIF(E15:F96,"Vy",G15:G96)+SUMIF(E15:F96,"Vy, Thi, Cường",G15:G96)/3+SUMIF(E15:F96,"All team",G15:G96)/5</f>
        <v>42.8</v>
      </c>
      <c r="E11" s="9">
        <f ca="1">SUMIF(E15:F96,"Vy",H15:H96)+SUMIF(E15:F96,"Vy, Thi, Cường",H15:H96)/3+SUMIF(E15:F96,"All team",H15:H96)/5</f>
        <v>40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6.5" x14ac:dyDescent="0.2">
      <c r="A12" s="1"/>
      <c r="B12" s="9">
        <v>5</v>
      </c>
      <c r="C12" s="25" t="s">
        <v>38</v>
      </c>
      <c r="D12" s="9">
        <f ca="1">SUMIF(E15:F96,"Yên",G15:G96)+SUMIF(E15:F96,"Yên, Ly",G15:G96)/2+SUMIF(E15:F96,"All team",G15:G96)/5</f>
        <v>41.8</v>
      </c>
      <c r="E12" s="9">
        <f ca="1">SUMIF(E15:F96,"Yên",H15:H96)+SUMIF(E15:F96,"Yên, Ly",H15:H96)/2+SUMIF(E15:F96,"All team",H15:H96)/5</f>
        <v>40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6.5" x14ac:dyDescent="0.2">
      <c r="A13" s="1"/>
      <c r="B13" s="58" t="s">
        <v>13</v>
      </c>
      <c r="C13" s="58"/>
      <c r="D13" s="12">
        <f ca="1">SUM(D8:D12)</f>
        <v>212</v>
      </c>
      <c r="E13" s="12">
        <f ca="1">SUM(E8:E12)</f>
        <v>200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6.5" x14ac:dyDescent="0.2">
      <c r="A14" s="1"/>
      <c r="B14" s="1"/>
      <c r="C14" s="10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AG14" s="1"/>
    </row>
    <row r="15" spans="1:33" ht="69.599999999999994" customHeight="1" x14ac:dyDescent="0.2">
      <c r="A15" s="6" t="s">
        <v>14</v>
      </c>
      <c r="B15" s="6" t="s">
        <v>15</v>
      </c>
      <c r="C15" s="58" t="s">
        <v>16</v>
      </c>
      <c r="D15" s="58"/>
      <c r="E15" s="72" t="s">
        <v>17</v>
      </c>
      <c r="F15" s="72"/>
      <c r="G15" s="26" t="s">
        <v>11</v>
      </c>
      <c r="H15" s="26" t="s">
        <v>12</v>
      </c>
      <c r="I15" s="7">
        <v>46131</v>
      </c>
      <c r="J15" s="7">
        <v>46132</v>
      </c>
      <c r="K15" s="7">
        <v>46133</v>
      </c>
      <c r="L15" s="7">
        <v>46134</v>
      </c>
      <c r="M15" s="7">
        <v>46135</v>
      </c>
      <c r="N15" s="7">
        <v>46136</v>
      </c>
      <c r="O15" s="7">
        <v>46137</v>
      </c>
      <c r="P15" s="7">
        <v>46138</v>
      </c>
      <c r="Q15" s="7">
        <v>46139</v>
      </c>
      <c r="R15" s="7">
        <v>46140</v>
      </c>
      <c r="S15" s="7">
        <v>46141</v>
      </c>
      <c r="T15" s="7">
        <v>46142</v>
      </c>
      <c r="U15" s="7">
        <v>46143</v>
      </c>
      <c r="V15" s="7">
        <v>46144</v>
      </c>
      <c r="W15" s="7">
        <v>46145</v>
      </c>
      <c r="X15" s="7">
        <v>46146</v>
      </c>
      <c r="Y15" s="7">
        <v>46147</v>
      </c>
      <c r="Z15" s="7">
        <v>46148</v>
      </c>
      <c r="AA15" s="7">
        <v>46149</v>
      </c>
      <c r="AB15" s="7">
        <v>46150</v>
      </c>
      <c r="AG15" s="1"/>
    </row>
    <row r="16" spans="1:33" ht="16.5" x14ac:dyDescent="0.2">
      <c r="A16" s="66" t="s">
        <v>51</v>
      </c>
      <c r="B16" s="73" t="s">
        <v>18</v>
      </c>
      <c r="C16" s="73"/>
      <c r="D16" s="73"/>
      <c r="E16" s="63" t="s">
        <v>19</v>
      </c>
      <c r="F16" s="63"/>
      <c r="G16" s="27">
        <f>H16+I16</f>
        <v>10</v>
      </c>
      <c r="H16" s="27">
        <v>10</v>
      </c>
      <c r="I16" s="3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G16" s="1"/>
    </row>
    <row r="17" spans="1:33" ht="16.5" x14ac:dyDescent="0.2">
      <c r="A17" s="66"/>
      <c r="B17" s="73" t="s">
        <v>53</v>
      </c>
      <c r="C17" s="73"/>
      <c r="D17" s="73"/>
      <c r="E17" s="63" t="s">
        <v>143</v>
      </c>
      <c r="F17" s="63"/>
      <c r="G17" s="27">
        <f>H17+J17</f>
        <v>4</v>
      </c>
      <c r="H17" s="27">
        <v>4</v>
      </c>
      <c r="I17" s="8">
        <v>4</v>
      </c>
      <c r="J17" s="3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F17" s="1"/>
      <c r="AG17" s="1"/>
    </row>
    <row r="18" spans="1:33" ht="16.5" x14ac:dyDescent="0.2">
      <c r="A18" s="66"/>
      <c r="B18" s="73" t="s">
        <v>21</v>
      </c>
      <c r="C18" s="73"/>
      <c r="D18" s="73"/>
      <c r="E18" s="63" t="s">
        <v>144</v>
      </c>
      <c r="F18" s="63"/>
      <c r="G18" s="27">
        <f>H18+J18</f>
        <v>6</v>
      </c>
      <c r="H18" s="27">
        <v>6</v>
      </c>
      <c r="I18" s="8">
        <v>6</v>
      </c>
      <c r="J18" s="3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F18" s="1"/>
      <c r="AG18" s="1"/>
    </row>
    <row r="19" spans="1:33" ht="16.5" x14ac:dyDescent="0.2">
      <c r="A19" s="66"/>
      <c r="B19" s="66" t="s">
        <v>22</v>
      </c>
      <c r="C19" s="48" t="s">
        <v>41</v>
      </c>
      <c r="D19" s="49"/>
      <c r="E19" s="29" t="s">
        <v>148</v>
      </c>
      <c r="F19" s="30"/>
      <c r="G19" s="27">
        <f>H19+K19</f>
        <v>2</v>
      </c>
      <c r="H19" s="27">
        <v>2</v>
      </c>
      <c r="I19" s="9">
        <v>2</v>
      </c>
      <c r="J19" s="9">
        <v>2</v>
      </c>
      <c r="K19" s="3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F19" s="1"/>
      <c r="AG19" s="1"/>
    </row>
    <row r="20" spans="1:33" ht="16.5" x14ac:dyDescent="0.2">
      <c r="A20" s="66"/>
      <c r="B20" s="66"/>
      <c r="C20" s="48" t="s">
        <v>153</v>
      </c>
      <c r="D20" s="49"/>
      <c r="E20" s="29" t="s">
        <v>147</v>
      </c>
      <c r="F20" s="30"/>
      <c r="G20" s="27">
        <f t="shared" ref="G20:G23" si="0">H20+K20</f>
        <v>2</v>
      </c>
      <c r="H20" s="27">
        <v>2</v>
      </c>
      <c r="I20" s="9">
        <v>2</v>
      </c>
      <c r="J20" s="9">
        <v>2</v>
      </c>
      <c r="K20" s="3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F20" s="1"/>
      <c r="AG20" s="1"/>
    </row>
    <row r="21" spans="1:33" ht="16.5" x14ac:dyDescent="0.2">
      <c r="A21" s="66"/>
      <c r="B21" s="66"/>
      <c r="C21" s="48" t="s">
        <v>154</v>
      </c>
      <c r="D21" s="49"/>
      <c r="E21" s="63" t="s">
        <v>145</v>
      </c>
      <c r="F21" s="63"/>
      <c r="G21" s="27">
        <f t="shared" si="0"/>
        <v>2</v>
      </c>
      <c r="H21" s="27">
        <v>2</v>
      </c>
      <c r="I21" s="9">
        <v>2</v>
      </c>
      <c r="J21" s="9">
        <v>2</v>
      </c>
      <c r="K21" s="3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F21" s="1"/>
      <c r="AG21" s="1"/>
    </row>
    <row r="22" spans="1:33" ht="16.5" x14ac:dyDescent="0.2">
      <c r="A22" s="66"/>
      <c r="B22" s="66"/>
      <c r="C22" s="48" t="s">
        <v>102</v>
      </c>
      <c r="D22" s="49"/>
      <c r="E22" s="63" t="s">
        <v>146</v>
      </c>
      <c r="F22" s="63"/>
      <c r="G22" s="27">
        <f t="shared" si="0"/>
        <v>2</v>
      </c>
      <c r="H22" s="27">
        <v>2</v>
      </c>
      <c r="I22" s="9">
        <v>2</v>
      </c>
      <c r="J22" s="9">
        <v>2</v>
      </c>
      <c r="K22" s="3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F22" s="1"/>
      <c r="AG22" s="1"/>
    </row>
    <row r="23" spans="1:33" ht="16.5" x14ac:dyDescent="0.2">
      <c r="A23" s="66"/>
      <c r="B23" s="66"/>
      <c r="C23" s="48" t="s">
        <v>101</v>
      </c>
      <c r="D23" s="49"/>
      <c r="E23" s="63" t="s">
        <v>149</v>
      </c>
      <c r="F23" s="63"/>
      <c r="G23" s="27">
        <f t="shared" si="0"/>
        <v>2</v>
      </c>
      <c r="H23" s="27">
        <v>2</v>
      </c>
      <c r="I23" s="9">
        <v>2</v>
      </c>
      <c r="J23" s="9">
        <v>2</v>
      </c>
      <c r="K23" s="3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F23" s="1"/>
      <c r="AG23" s="1"/>
    </row>
    <row r="24" spans="1:33" ht="16.5" x14ac:dyDescent="0.2">
      <c r="A24" s="66"/>
      <c r="B24" s="66"/>
      <c r="C24" s="48" t="s">
        <v>192</v>
      </c>
      <c r="D24" s="49"/>
      <c r="E24" s="29" t="s">
        <v>148</v>
      </c>
      <c r="F24" s="30"/>
      <c r="G24" s="27">
        <f>H24+L24</f>
        <v>2</v>
      </c>
      <c r="H24" s="27">
        <v>2</v>
      </c>
      <c r="I24" s="9">
        <v>2</v>
      </c>
      <c r="J24" s="9">
        <v>2</v>
      </c>
      <c r="K24" s="9">
        <v>2</v>
      </c>
      <c r="L24" s="3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F24" s="1"/>
      <c r="AG24" s="1"/>
    </row>
    <row r="25" spans="1:33" ht="16.5" x14ac:dyDescent="0.2">
      <c r="A25" s="66"/>
      <c r="B25" s="66"/>
      <c r="C25" s="74" t="s">
        <v>103</v>
      </c>
      <c r="D25" s="74"/>
      <c r="E25" s="29" t="s">
        <v>147</v>
      </c>
      <c r="F25" s="30"/>
      <c r="G25" s="27">
        <f t="shared" ref="G25:G28" si="1">H25+L25</f>
        <v>2</v>
      </c>
      <c r="H25" s="27">
        <v>2</v>
      </c>
      <c r="I25" s="9">
        <v>2</v>
      </c>
      <c r="J25" s="9">
        <v>2</v>
      </c>
      <c r="K25" s="9">
        <v>2</v>
      </c>
      <c r="L25" s="3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F25" s="1"/>
      <c r="AG25" s="1"/>
    </row>
    <row r="26" spans="1:33" ht="16.5" x14ac:dyDescent="0.2">
      <c r="A26" s="66"/>
      <c r="B26" s="69"/>
      <c r="C26" s="48" t="s">
        <v>104</v>
      </c>
      <c r="D26" s="49"/>
      <c r="E26" s="63" t="s">
        <v>145</v>
      </c>
      <c r="F26" s="63"/>
      <c r="G26" s="27">
        <f t="shared" si="1"/>
        <v>2</v>
      </c>
      <c r="H26" s="27">
        <v>2</v>
      </c>
      <c r="I26" s="9">
        <v>2</v>
      </c>
      <c r="J26" s="9">
        <v>2</v>
      </c>
      <c r="K26" s="9">
        <v>2</v>
      </c>
      <c r="L26" s="3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F26" s="1"/>
      <c r="AG26" s="1"/>
    </row>
    <row r="27" spans="1:33" ht="16.5" x14ac:dyDescent="0.2">
      <c r="A27" s="66"/>
      <c r="B27" s="66"/>
      <c r="C27" s="75" t="s">
        <v>162</v>
      </c>
      <c r="D27" s="75"/>
      <c r="E27" s="63" t="s">
        <v>146</v>
      </c>
      <c r="F27" s="63"/>
      <c r="G27" s="27">
        <f t="shared" si="1"/>
        <v>2</v>
      </c>
      <c r="H27" s="27">
        <v>2</v>
      </c>
      <c r="I27" s="9">
        <v>2</v>
      </c>
      <c r="J27" s="9">
        <v>2</v>
      </c>
      <c r="K27" s="9">
        <v>2</v>
      </c>
      <c r="L27" s="3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F27" s="1"/>
      <c r="AG27" s="1"/>
    </row>
    <row r="28" spans="1:33" ht="16.5" x14ac:dyDescent="0.2">
      <c r="A28" s="66"/>
      <c r="B28" s="66"/>
      <c r="C28" s="73" t="s">
        <v>163</v>
      </c>
      <c r="D28" s="73"/>
      <c r="E28" s="63" t="s">
        <v>149</v>
      </c>
      <c r="F28" s="63"/>
      <c r="G28" s="27">
        <f t="shared" si="1"/>
        <v>2</v>
      </c>
      <c r="H28" s="27">
        <v>2</v>
      </c>
      <c r="I28" s="9">
        <v>2</v>
      </c>
      <c r="J28" s="9">
        <v>2</v>
      </c>
      <c r="K28" s="9">
        <v>2</v>
      </c>
      <c r="L28" s="3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F28" s="1"/>
      <c r="AG28" s="1"/>
    </row>
    <row r="29" spans="1:33" ht="16.5" x14ac:dyDescent="0.2">
      <c r="A29" s="66"/>
      <c r="B29" s="66"/>
      <c r="C29" s="64" t="s">
        <v>54</v>
      </c>
      <c r="D29" s="64"/>
      <c r="E29" s="63" t="s">
        <v>19</v>
      </c>
      <c r="F29" s="63"/>
      <c r="G29" s="27">
        <f>H29+M29</f>
        <v>10</v>
      </c>
      <c r="H29" s="27">
        <v>10</v>
      </c>
      <c r="I29" s="9">
        <v>10</v>
      </c>
      <c r="J29" s="9">
        <v>10</v>
      </c>
      <c r="K29" s="9">
        <v>10</v>
      </c>
      <c r="L29" s="9">
        <v>10</v>
      </c>
      <c r="M29" s="3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F29" s="1"/>
      <c r="AG29" s="1"/>
    </row>
    <row r="30" spans="1:33" ht="16.5" x14ac:dyDescent="0.2">
      <c r="A30" s="66"/>
      <c r="B30" s="45" t="s">
        <v>24</v>
      </c>
      <c r="C30" s="64" t="s">
        <v>194</v>
      </c>
      <c r="D30" s="64"/>
      <c r="E30" s="29" t="s">
        <v>146</v>
      </c>
      <c r="F30" s="30"/>
      <c r="G30" s="27">
        <f>H30+N30</f>
        <v>2</v>
      </c>
      <c r="H30" s="27">
        <v>2</v>
      </c>
      <c r="I30" s="9">
        <v>2</v>
      </c>
      <c r="J30" s="9">
        <v>2</v>
      </c>
      <c r="K30" s="9">
        <v>2</v>
      </c>
      <c r="L30" s="9">
        <v>2</v>
      </c>
      <c r="M30" s="9">
        <v>2</v>
      </c>
      <c r="N30" s="3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F30" s="1"/>
      <c r="AG30" s="1"/>
    </row>
    <row r="31" spans="1:33" ht="16.5" x14ac:dyDescent="0.2">
      <c r="A31" s="66"/>
      <c r="B31" s="45"/>
      <c r="C31" s="64" t="s">
        <v>193</v>
      </c>
      <c r="D31" s="64"/>
      <c r="E31" s="29" t="s">
        <v>147</v>
      </c>
      <c r="F31" s="30"/>
      <c r="G31" s="27">
        <f>H31+N32</f>
        <v>2</v>
      </c>
      <c r="H31" s="27">
        <v>2</v>
      </c>
      <c r="I31" s="9">
        <v>2</v>
      </c>
      <c r="J31" s="9">
        <v>2</v>
      </c>
      <c r="K31" s="9">
        <v>2</v>
      </c>
      <c r="L31" s="9">
        <v>2</v>
      </c>
      <c r="M31" s="9">
        <v>2</v>
      </c>
      <c r="N31" s="3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F31" s="1"/>
      <c r="AG31" s="1"/>
    </row>
    <row r="32" spans="1:33" ht="16.5" x14ac:dyDescent="0.2">
      <c r="A32" s="66"/>
      <c r="B32" s="45"/>
      <c r="C32" s="64" t="s">
        <v>195</v>
      </c>
      <c r="D32" s="64"/>
      <c r="E32" s="29" t="s">
        <v>148</v>
      </c>
      <c r="F32" s="30"/>
      <c r="G32" s="27">
        <f t="shared" ref="G32" si="2">H32+N33</f>
        <v>2</v>
      </c>
      <c r="H32" s="27">
        <v>2</v>
      </c>
      <c r="I32" s="9">
        <v>2</v>
      </c>
      <c r="J32" s="9">
        <v>2</v>
      </c>
      <c r="K32" s="9">
        <v>2</v>
      </c>
      <c r="L32" s="9">
        <v>2</v>
      </c>
      <c r="M32" s="9">
        <v>2</v>
      </c>
      <c r="N32" s="3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F32" s="1"/>
      <c r="AG32" s="1"/>
    </row>
    <row r="33" spans="1:33" ht="16.5" x14ac:dyDescent="0.2">
      <c r="A33" s="66"/>
      <c r="B33" s="45"/>
      <c r="C33" s="64" t="s">
        <v>196</v>
      </c>
      <c r="D33" s="64"/>
      <c r="E33" s="63" t="s">
        <v>149</v>
      </c>
      <c r="F33" s="63"/>
      <c r="G33" s="27">
        <f>H33+N33</f>
        <v>2</v>
      </c>
      <c r="H33" s="27">
        <v>2</v>
      </c>
      <c r="I33" s="9">
        <v>2</v>
      </c>
      <c r="J33" s="9">
        <v>2</v>
      </c>
      <c r="K33" s="9">
        <v>2</v>
      </c>
      <c r="L33" s="9">
        <v>2</v>
      </c>
      <c r="M33" s="9">
        <v>2</v>
      </c>
      <c r="N33" s="3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F33" s="1"/>
      <c r="AG33" s="1"/>
    </row>
    <row r="34" spans="1:33" ht="16.5" x14ac:dyDescent="0.2">
      <c r="A34" s="66"/>
      <c r="B34" s="45"/>
      <c r="C34" s="64" t="s">
        <v>197</v>
      </c>
      <c r="D34" s="64"/>
      <c r="E34" s="63" t="s">
        <v>145</v>
      </c>
      <c r="F34" s="63"/>
      <c r="G34" s="27">
        <f>H34+N34</f>
        <v>2</v>
      </c>
      <c r="H34" s="27">
        <v>2</v>
      </c>
      <c r="I34" s="9">
        <v>2</v>
      </c>
      <c r="J34" s="9">
        <v>2</v>
      </c>
      <c r="K34" s="9">
        <v>2</v>
      </c>
      <c r="L34" s="9">
        <v>2</v>
      </c>
      <c r="M34" s="9">
        <v>2</v>
      </c>
      <c r="N34" s="3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F34" s="1"/>
      <c r="AG34" s="1"/>
    </row>
    <row r="35" spans="1:33" ht="16.5" x14ac:dyDescent="0.2">
      <c r="A35" s="66"/>
      <c r="B35" s="45"/>
      <c r="C35" s="64" t="s">
        <v>198</v>
      </c>
      <c r="D35" s="64"/>
      <c r="E35" s="29" t="s">
        <v>146</v>
      </c>
      <c r="F35" s="30"/>
      <c r="G35" s="27">
        <f>H35+O35</f>
        <v>2</v>
      </c>
      <c r="H35" s="27">
        <v>2</v>
      </c>
      <c r="I35" s="9">
        <v>2</v>
      </c>
      <c r="J35" s="9">
        <v>2</v>
      </c>
      <c r="K35" s="9">
        <v>2</v>
      </c>
      <c r="L35" s="9">
        <v>2</v>
      </c>
      <c r="M35" s="9">
        <v>2</v>
      </c>
      <c r="N35" s="9">
        <v>2</v>
      </c>
      <c r="O35" s="3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F35" s="1"/>
      <c r="AG35" s="1"/>
    </row>
    <row r="36" spans="1:33" ht="16.5" x14ac:dyDescent="0.2">
      <c r="A36" s="66"/>
      <c r="B36" s="45"/>
      <c r="C36" s="64" t="s">
        <v>199</v>
      </c>
      <c r="D36" s="64"/>
      <c r="E36" s="29" t="s">
        <v>147</v>
      </c>
      <c r="F36" s="30"/>
      <c r="G36" s="27">
        <f>H36+O36</f>
        <v>2</v>
      </c>
      <c r="H36" s="27">
        <v>2</v>
      </c>
      <c r="I36" s="9">
        <v>2</v>
      </c>
      <c r="J36" s="9">
        <v>2</v>
      </c>
      <c r="K36" s="9">
        <v>2</v>
      </c>
      <c r="L36" s="9">
        <v>2</v>
      </c>
      <c r="M36" s="9">
        <v>2</v>
      </c>
      <c r="N36" s="9">
        <v>2</v>
      </c>
      <c r="O36" s="3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F36" s="1"/>
      <c r="AG36" s="1"/>
    </row>
    <row r="37" spans="1:33" ht="16.5" x14ac:dyDescent="0.2">
      <c r="A37" s="66"/>
      <c r="B37" s="45"/>
      <c r="C37" s="64" t="s">
        <v>200</v>
      </c>
      <c r="D37" s="64"/>
      <c r="E37" s="29" t="s">
        <v>148</v>
      </c>
      <c r="F37" s="30"/>
      <c r="G37" s="27">
        <f t="shared" ref="G37:G39" si="3">H37+O37</f>
        <v>2</v>
      </c>
      <c r="H37" s="27">
        <v>2</v>
      </c>
      <c r="I37" s="9">
        <v>2</v>
      </c>
      <c r="J37" s="9">
        <v>2</v>
      </c>
      <c r="K37" s="9">
        <v>2</v>
      </c>
      <c r="L37" s="9">
        <v>2</v>
      </c>
      <c r="M37" s="9">
        <v>2</v>
      </c>
      <c r="N37" s="9">
        <v>2</v>
      </c>
      <c r="O37" s="3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F37" s="1"/>
      <c r="AG37" s="1"/>
    </row>
    <row r="38" spans="1:33" ht="16.5" x14ac:dyDescent="0.2">
      <c r="A38" s="66"/>
      <c r="B38" s="45"/>
      <c r="C38" s="64" t="s">
        <v>201</v>
      </c>
      <c r="D38" s="64"/>
      <c r="E38" s="63" t="s">
        <v>149</v>
      </c>
      <c r="F38" s="63"/>
      <c r="G38" s="27">
        <f t="shared" si="3"/>
        <v>2</v>
      </c>
      <c r="H38" s="27">
        <v>2</v>
      </c>
      <c r="I38" s="9">
        <v>2</v>
      </c>
      <c r="J38" s="9">
        <v>2</v>
      </c>
      <c r="K38" s="9">
        <v>2</v>
      </c>
      <c r="L38" s="9">
        <v>2</v>
      </c>
      <c r="M38" s="9">
        <v>2</v>
      </c>
      <c r="N38" s="9">
        <v>2</v>
      </c>
      <c r="O38" s="3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F38" s="1"/>
      <c r="AG38" s="1"/>
    </row>
    <row r="39" spans="1:33" ht="16.5" x14ac:dyDescent="0.2">
      <c r="A39" s="66"/>
      <c r="B39" s="45"/>
      <c r="C39" s="64" t="s">
        <v>202</v>
      </c>
      <c r="D39" s="64"/>
      <c r="E39" s="63" t="s">
        <v>145</v>
      </c>
      <c r="F39" s="63"/>
      <c r="G39" s="27">
        <f t="shared" si="3"/>
        <v>2</v>
      </c>
      <c r="H39" s="27">
        <v>2</v>
      </c>
      <c r="I39" s="9">
        <v>2</v>
      </c>
      <c r="J39" s="9">
        <v>2</v>
      </c>
      <c r="K39" s="9">
        <v>2</v>
      </c>
      <c r="L39" s="9">
        <v>2</v>
      </c>
      <c r="M39" s="9">
        <v>2</v>
      </c>
      <c r="N39" s="9">
        <v>2</v>
      </c>
      <c r="O39" s="3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F39" s="1"/>
      <c r="AG39" s="1"/>
    </row>
    <row r="40" spans="1:33" ht="16.5" x14ac:dyDescent="0.2">
      <c r="A40" s="66"/>
      <c r="B40" s="45"/>
      <c r="C40" s="64" t="s">
        <v>55</v>
      </c>
      <c r="D40" s="64"/>
      <c r="E40" s="30" t="s">
        <v>19</v>
      </c>
      <c r="F40" s="63"/>
      <c r="G40" s="27">
        <f>H40+P41</f>
        <v>9</v>
      </c>
      <c r="H40" s="27">
        <v>10</v>
      </c>
      <c r="I40" s="9">
        <v>10</v>
      </c>
      <c r="J40" s="9">
        <v>10</v>
      </c>
      <c r="K40" s="9">
        <v>10</v>
      </c>
      <c r="L40" s="9">
        <v>10</v>
      </c>
      <c r="M40" s="9">
        <v>10</v>
      </c>
      <c r="N40" s="9">
        <v>10</v>
      </c>
      <c r="O40" s="9">
        <v>10</v>
      </c>
      <c r="P40" s="3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F40" s="1"/>
      <c r="AG40" s="1"/>
    </row>
    <row r="41" spans="1:33" ht="16.5" x14ac:dyDescent="0.2">
      <c r="A41" s="66"/>
      <c r="B41" s="42"/>
      <c r="C41" s="29"/>
      <c r="D41" s="30"/>
      <c r="E41" s="29"/>
      <c r="F41" s="30"/>
      <c r="G41" s="27"/>
      <c r="H41" s="27"/>
      <c r="I41" s="8"/>
      <c r="J41" s="8"/>
      <c r="K41" s="8"/>
      <c r="L41" s="8"/>
      <c r="M41" s="8"/>
      <c r="N41" s="8"/>
      <c r="O41" s="8"/>
      <c r="P41" s="5">
        <v>-1</v>
      </c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F41" s="1"/>
      <c r="AG41" s="1"/>
    </row>
    <row r="42" spans="1:33" ht="16.5" x14ac:dyDescent="0.2">
      <c r="A42" s="66"/>
      <c r="B42" s="66" t="s">
        <v>26</v>
      </c>
      <c r="C42" s="64" t="s">
        <v>47</v>
      </c>
      <c r="D42" s="64"/>
      <c r="E42" s="29" t="s">
        <v>149</v>
      </c>
      <c r="F42" s="30"/>
      <c r="G42" s="27">
        <f>H42+Q42</f>
        <v>2</v>
      </c>
      <c r="H42" s="27">
        <v>2</v>
      </c>
      <c r="I42" s="9">
        <v>2</v>
      </c>
      <c r="J42" s="9">
        <v>2</v>
      </c>
      <c r="K42" s="9">
        <v>2</v>
      </c>
      <c r="L42" s="9">
        <v>2</v>
      </c>
      <c r="M42" s="9">
        <v>2</v>
      </c>
      <c r="N42" s="9">
        <v>2</v>
      </c>
      <c r="O42" s="9">
        <v>2</v>
      </c>
      <c r="P42" s="9">
        <v>2</v>
      </c>
      <c r="Q42" s="3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F42" s="1"/>
      <c r="AG42" s="1"/>
    </row>
    <row r="43" spans="1:33" ht="16.5" x14ac:dyDescent="0.2">
      <c r="A43" s="66"/>
      <c r="B43" s="66"/>
      <c r="C43" s="64" t="s">
        <v>157</v>
      </c>
      <c r="D43" s="64"/>
      <c r="E43" s="29" t="s">
        <v>148</v>
      </c>
      <c r="F43" s="30"/>
      <c r="G43" s="27">
        <f t="shared" ref="G43:G45" si="4">H43+Q43</f>
        <v>2</v>
      </c>
      <c r="H43" s="27">
        <v>2</v>
      </c>
      <c r="I43" s="9">
        <v>2</v>
      </c>
      <c r="J43" s="9">
        <v>2</v>
      </c>
      <c r="K43" s="9">
        <v>2</v>
      </c>
      <c r="L43" s="9">
        <v>2</v>
      </c>
      <c r="M43" s="9">
        <v>2</v>
      </c>
      <c r="N43" s="9">
        <v>2</v>
      </c>
      <c r="O43" s="9">
        <v>2</v>
      </c>
      <c r="P43" s="9">
        <v>2</v>
      </c>
      <c r="Q43" s="3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F43" s="1"/>
      <c r="AG43" s="1"/>
    </row>
    <row r="44" spans="1:33" ht="16.5" x14ac:dyDescent="0.2">
      <c r="A44" s="66"/>
      <c r="B44" s="66"/>
      <c r="C44" s="64" t="s">
        <v>158</v>
      </c>
      <c r="D44" s="64"/>
      <c r="E44" s="29" t="s">
        <v>147</v>
      </c>
      <c r="F44" s="30"/>
      <c r="G44" s="27">
        <f t="shared" si="4"/>
        <v>2</v>
      </c>
      <c r="H44" s="27">
        <v>2</v>
      </c>
      <c r="I44" s="9">
        <v>2</v>
      </c>
      <c r="J44" s="9">
        <v>2</v>
      </c>
      <c r="K44" s="9">
        <v>2</v>
      </c>
      <c r="L44" s="9">
        <v>2</v>
      </c>
      <c r="M44" s="9">
        <v>2</v>
      </c>
      <c r="N44" s="9">
        <v>2</v>
      </c>
      <c r="O44" s="9">
        <v>2</v>
      </c>
      <c r="P44" s="9">
        <v>2</v>
      </c>
      <c r="Q44" s="3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F44" s="1"/>
      <c r="AG44" s="1"/>
    </row>
    <row r="45" spans="1:33" ht="16.5" x14ac:dyDescent="0.2">
      <c r="A45" s="66"/>
      <c r="B45" s="66"/>
      <c r="C45" s="64" t="s">
        <v>75</v>
      </c>
      <c r="D45" s="64"/>
      <c r="E45" s="63" t="s">
        <v>145</v>
      </c>
      <c r="F45" s="63"/>
      <c r="G45" s="27">
        <f t="shared" si="4"/>
        <v>2</v>
      </c>
      <c r="H45" s="27">
        <v>2</v>
      </c>
      <c r="I45" s="9">
        <v>2</v>
      </c>
      <c r="J45" s="9">
        <v>2</v>
      </c>
      <c r="K45" s="9">
        <v>2</v>
      </c>
      <c r="L45" s="9">
        <v>2</v>
      </c>
      <c r="M45" s="9">
        <v>2</v>
      </c>
      <c r="N45" s="9">
        <v>2</v>
      </c>
      <c r="O45" s="9">
        <v>2</v>
      </c>
      <c r="P45" s="9">
        <v>2</v>
      </c>
      <c r="Q45" s="3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F45" s="1"/>
      <c r="AG45" s="1"/>
    </row>
    <row r="46" spans="1:33" ht="16.5" x14ac:dyDescent="0.2">
      <c r="A46" s="66"/>
      <c r="B46" s="66"/>
      <c r="C46" s="64" t="s">
        <v>71</v>
      </c>
      <c r="D46" s="64"/>
      <c r="E46" s="63" t="s">
        <v>146</v>
      </c>
      <c r="F46" s="63"/>
      <c r="G46" s="27">
        <f>H46+Q46</f>
        <v>2</v>
      </c>
      <c r="H46" s="27">
        <v>2</v>
      </c>
      <c r="I46" s="9">
        <v>2</v>
      </c>
      <c r="J46" s="9">
        <v>2</v>
      </c>
      <c r="K46" s="9">
        <v>2</v>
      </c>
      <c r="L46" s="9">
        <v>2</v>
      </c>
      <c r="M46" s="9">
        <v>2</v>
      </c>
      <c r="N46" s="9">
        <v>2</v>
      </c>
      <c r="O46" s="9">
        <v>2</v>
      </c>
      <c r="P46" s="9">
        <v>2</v>
      </c>
      <c r="Q46" s="3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F46" s="1"/>
      <c r="AG46" s="1"/>
    </row>
    <row r="47" spans="1:33" ht="16.5" x14ac:dyDescent="0.2">
      <c r="A47" s="66"/>
      <c r="B47" s="66"/>
      <c r="C47" s="64" t="s">
        <v>73</v>
      </c>
      <c r="D47" s="64"/>
      <c r="E47" s="29" t="s">
        <v>149</v>
      </c>
      <c r="F47" s="30"/>
      <c r="G47" s="27">
        <f>H47+R47</f>
        <v>2</v>
      </c>
      <c r="H47" s="27">
        <v>2</v>
      </c>
      <c r="I47" s="9">
        <v>2</v>
      </c>
      <c r="J47" s="9">
        <v>2</v>
      </c>
      <c r="K47" s="9">
        <v>2</v>
      </c>
      <c r="L47" s="9">
        <v>2</v>
      </c>
      <c r="M47" s="9">
        <v>2</v>
      </c>
      <c r="N47" s="9">
        <v>2</v>
      </c>
      <c r="O47" s="9">
        <v>2</v>
      </c>
      <c r="P47" s="9">
        <v>2</v>
      </c>
      <c r="Q47" s="9">
        <v>2</v>
      </c>
      <c r="R47" s="3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F47" s="1"/>
      <c r="AG47" s="1"/>
    </row>
    <row r="48" spans="1:33" ht="16.5" x14ac:dyDescent="0.2">
      <c r="A48" s="66"/>
      <c r="B48" s="66"/>
      <c r="C48" s="64" t="s">
        <v>77</v>
      </c>
      <c r="D48" s="64"/>
      <c r="E48" s="29" t="s">
        <v>148</v>
      </c>
      <c r="F48" s="30"/>
      <c r="G48" s="27">
        <f>H48+R47</f>
        <v>2</v>
      </c>
      <c r="H48" s="27">
        <v>2</v>
      </c>
      <c r="I48" s="9">
        <v>2</v>
      </c>
      <c r="J48" s="9">
        <v>2</v>
      </c>
      <c r="K48" s="9">
        <v>2</v>
      </c>
      <c r="L48" s="9">
        <v>2</v>
      </c>
      <c r="M48" s="9">
        <v>2</v>
      </c>
      <c r="N48" s="9">
        <v>2</v>
      </c>
      <c r="O48" s="9">
        <v>2</v>
      </c>
      <c r="P48" s="9">
        <v>2</v>
      </c>
      <c r="Q48" s="9">
        <v>2</v>
      </c>
      <c r="R48" s="3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F48" s="1"/>
      <c r="AG48" s="1"/>
    </row>
    <row r="49" spans="1:33" ht="16.5" x14ac:dyDescent="0.2">
      <c r="A49" s="66"/>
      <c r="B49" s="66"/>
      <c r="C49" s="64" t="s">
        <v>79</v>
      </c>
      <c r="D49" s="64"/>
      <c r="E49" s="29" t="s">
        <v>147</v>
      </c>
      <c r="F49" s="30"/>
      <c r="G49" s="27">
        <f t="shared" ref="G49:G51" si="5">H49+R48</f>
        <v>2</v>
      </c>
      <c r="H49" s="27">
        <v>2</v>
      </c>
      <c r="I49" s="9">
        <v>2</v>
      </c>
      <c r="J49" s="9">
        <v>2</v>
      </c>
      <c r="K49" s="9">
        <v>2</v>
      </c>
      <c r="L49" s="9">
        <v>2</v>
      </c>
      <c r="M49" s="9">
        <v>2</v>
      </c>
      <c r="N49" s="9">
        <v>2</v>
      </c>
      <c r="O49" s="9">
        <v>2</v>
      </c>
      <c r="P49" s="9">
        <v>2</v>
      </c>
      <c r="Q49" s="9">
        <v>2</v>
      </c>
      <c r="R49" s="3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F49" s="1"/>
      <c r="AG49" s="1"/>
    </row>
    <row r="50" spans="1:33" ht="16.5" x14ac:dyDescent="0.2">
      <c r="A50" s="66"/>
      <c r="B50" s="66"/>
      <c r="C50" s="64" t="s">
        <v>175</v>
      </c>
      <c r="D50" s="64"/>
      <c r="E50" s="63" t="s">
        <v>145</v>
      </c>
      <c r="F50" s="63"/>
      <c r="G50" s="27">
        <f>H50+R49</f>
        <v>2</v>
      </c>
      <c r="H50" s="27">
        <v>2</v>
      </c>
      <c r="I50" s="9">
        <v>2</v>
      </c>
      <c r="J50" s="9">
        <v>2</v>
      </c>
      <c r="K50" s="9">
        <v>2</v>
      </c>
      <c r="L50" s="9">
        <v>2</v>
      </c>
      <c r="M50" s="9">
        <v>2</v>
      </c>
      <c r="N50" s="9">
        <v>2</v>
      </c>
      <c r="O50" s="9">
        <v>2</v>
      </c>
      <c r="P50" s="9">
        <v>2</v>
      </c>
      <c r="Q50" s="9">
        <v>2</v>
      </c>
      <c r="R50" s="3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F50" s="1"/>
      <c r="AG50" s="1"/>
    </row>
    <row r="51" spans="1:33" ht="16.5" x14ac:dyDescent="0.2">
      <c r="A51" s="66"/>
      <c r="B51" s="66"/>
      <c r="C51" s="64" t="s">
        <v>166</v>
      </c>
      <c r="D51" s="64"/>
      <c r="E51" s="63" t="s">
        <v>146</v>
      </c>
      <c r="F51" s="63"/>
      <c r="G51" s="27">
        <f t="shared" si="5"/>
        <v>2</v>
      </c>
      <c r="H51" s="27">
        <v>2</v>
      </c>
      <c r="I51" s="9">
        <v>2</v>
      </c>
      <c r="J51" s="9">
        <v>2</v>
      </c>
      <c r="K51" s="9">
        <v>2</v>
      </c>
      <c r="L51" s="9">
        <v>2</v>
      </c>
      <c r="M51" s="9">
        <v>2</v>
      </c>
      <c r="N51" s="9">
        <v>2</v>
      </c>
      <c r="O51" s="9">
        <v>2</v>
      </c>
      <c r="P51" s="9">
        <v>2</v>
      </c>
      <c r="Q51" s="9">
        <v>2</v>
      </c>
      <c r="R51" s="3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F51" s="1"/>
      <c r="AG51" s="1"/>
    </row>
    <row r="52" spans="1:33" ht="16.5" x14ac:dyDescent="0.2">
      <c r="A52" s="66"/>
      <c r="B52" s="66"/>
      <c r="C52" s="64" t="s">
        <v>48</v>
      </c>
      <c r="D52" s="64"/>
      <c r="E52" s="29" t="s">
        <v>149</v>
      </c>
      <c r="F52" s="30"/>
      <c r="G52" s="27">
        <f>H52+S52</f>
        <v>2</v>
      </c>
      <c r="H52" s="27">
        <v>2</v>
      </c>
      <c r="I52" s="9">
        <v>2</v>
      </c>
      <c r="J52" s="9">
        <v>2</v>
      </c>
      <c r="K52" s="9">
        <v>2</v>
      </c>
      <c r="L52" s="9">
        <v>2</v>
      </c>
      <c r="M52" s="9">
        <v>2</v>
      </c>
      <c r="N52" s="9">
        <v>2</v>
      </c>
      <c r="O52" s="9">
        <v>2</v>
      </c>
      <c r="P52" s="9">
        <v>2</v>
      </c>
      <c r="Q52" s="9">
        <v>2</v>
      </c>
      <c r="R52" s="9">
        <v>2</v>
      </c>
      <c r="S52" s="3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F52" s="1"/>
      <c r="AG52" s="1"/>
    </row>
    <row r="53" spans="1:33" ht="16.5" x14ac:dyDescent="0.2">
      <c r="A53" s="66"/>
      <c r="B53" s="66"/>
      <c r="C53" s="64" t="s">
        <v>203</v>
      </c>
      <c r="D53" s="64"/>
      <c r="E53" s="29" t="s">
        <v>148</v>
      </c>
      <c r="F53" s="30"/>
      <c r="G53" s="27">
        <f>H53+S53</f>
        <v>2</v>
      </c>
      <c r="H53" s="27">
        <v>2</v>
      </c>
      <c r="I53" s="9">
        <v>2</v>
      </c>
      <c r="J53" s="9">
        <v>2</v>
      </c>
      <c r="K53" s="9">
        <v>2</v>
      </c>
      <c r="L53" s="9">
        <v>2</v>
      </c>
      <c r="M53" s="9">
        <v>2</v>
      </c>
      <c r="N53" s="9">
        <v>2</v>
      </c>
      <c r="O53" s="9">
        <v>2</v>
      </c>
      <c r="P53" s="9">
        <v>2</v>
      </c>
      <c r="Q53" s="9">
        <v>2</v>
      </c>
      <c r="R53" s="9">
        <v>2</v>
      </c>
      <c r="S53" s="3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F53" s="1"/>
      <c r="AG53" s="1"/>
    </row>
    <row r="54" spans="1:33" ht="16.5" x14ac:dyDescent="0.2">
      <c r="A54" s="66"/>
      <c r="B54" s="66"/>
      <c r="C54" s="64" t="s">
        <v>160</v>
      </c>
      <c r="D54" s="64"/>
      <c r="E54" s="29" t="s">
        <v>147</v>
      </c>
      <c r="F54" s="30"/>
      <c r="G54" s="27">
        <f>H54+S54</f>
        <v>2</v>
      </c>
      <c r="H54" s="27">
        <v>2</v>
      </c>
      <c r="I54" s="9">
        <v>2</v>
      </c>
      <c r="J54" s="9">
        <v>2</v>
      </c>
      <c r="K54" s="9">
        <v>2</v>
      </c>
      <c r="L54" s="9">
        <v>2</v>
      </c>
      <c r="M54" s="9">
        <v>2</v>
      </c>
      <c r="N54" s="9">
        <v>2</v>
      </c>
      <c r="O54" s="9">
        <v>2</v>
      </c>
      <c r="P54" s="9">
        <v>2</v>
      </c>
      <c r="Q54" s="9">
        <v>2</v>
      </c>
      <c r="R54" s="9">
        <v>2</v>
      </c>
      <c r="S54" s="3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F54" s="1"/>
      <c r="AG54" s="1"/>
    </row>
    <row r="55" spans="1:33" ht="16.5" x14ac:dyDescent="0.2">
      <c r="A55" s="66"/>
      <c r="B55" s="66"/>
      <c r="C55" s="64" t="s">
        <v>76</v>
      </c>
      <c r="D55" s="64"/>
      <c r="E55" s="63" t="s">
        <v>145</v>
      </c>
      <c r="F55" s="63"/>
      <c r="G55" s="27">
        <f>H55+S55</f>
        <v>2</v>
      </c>
      <c r="H55" s="27">
        <v>2</v>
      </c>
      <c r="I55" s="9">
        <v>2</v>
      </c>
      <c r="J55" s="9">
        <v>2</v>
      </c>
      <c r="K55" s="9">
        <v>2</v>
      </c>
      <c r="L55" s="9">
        <v>2</v>
      </c>
      <c r="M55" s="9">
        <v>2</v>
      </c>
      <c r="N55" s="9">
        <v>2</v>
      </c>
      <c r="O55" s="9">
        <v>2</v>
      </c>
      <c r="P55" s="9">
        <v>2</v>
      </c>
      <c r="Q55" s="9">
        <v>2</v>
      </c>
      <c r="R55" s="9">
        <v>2</v>
      </c>
      <c r="S55" s="3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F55" s="1"/>
      <c r="AG55" s="1"/>
    </row>
    <row r="56" spans="1:33" ht="16.5" x14ac:dyDescent="0.2">
      <c r="A56" s="66"/>
      <c r="B56" s="66"/>
      <c r="C56" s="64" t="s">
        <v>72</v>
      </c>
      <c r="D56" s="64"/>
      <c r="E56" s="63" t="s">
        <v>146</v>
      </c>
      <c r="F56" s="63"/>
      <c r="G56" s="27">
        <f>H56+S56</f>
        <v>2</v>
      </c>
      <c r="H56" s="27">
        <v>2</v>
      </c>
      <c r="I56" s="9">
        <v>2</v>
      </c>
      <c r="J56" s="9">
        <v>2</v>
      </c>
      <c r="K56" s="9">
        <v>2</v>
      </c>
      <c r="L56" s="9">
        <v>2</v>
      </c>
      <c r="M56" s="9">
        <v>2</v>
      </c>
      <c r="N56" s="9">
        <v>2</v>
      </c>
      <c r="O56" s="9">
        <v>2</v>
      </c>
      <c r="P56" s="9">
        <v>2</v>
      </c>
      <c r="Q56" s="9">
        <v>2</v>
      </c>
      <c r="R56" s="9">
        <v>2</v>
      </c>
      <c r="S56" s="3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F56" s="1"/>
      <c r="AG56" s="1"/>
    </row>
    <row r="57" spans="1:33" ht="16.5" x14ac:dyDescent="0.2">
      <c r="A57" s="66"/>
      <c r="B57" s="66"/>
      <c r="C57" s="64" t="s">
        <v>74</v>
      </c>
      <c r="D57" s="64"/>
      <c r="E57" s="29" t="s">
        <v>149</v>
      </c>
      <c r="F57" s="30"/>
      <c r="G57" s="27">
        <f>H57+T57</f>
        <v>2</v>
      </c>
      <c r="H57" s="27">
        <v>2</v>
      </c>
      <c r="I57" s="9">
        <v>2</v>
      </c>
      <c r="J57" s="9">
        <v>2</v>
      </c>
      <c r="K57" s="9">
        <v>2</v>
      </c>
      <c r="L57" s="9">
        <v>2</v>
      </c>
      <c r="M57" s="9">
        <v>2</v>
      </c>
      <c r="N57" s="9">
        <v>2</v>
      </c>
      <c r="O57" s="9">
        <v>2</v>
      </c>
      <c r="P57" s="9">
        <v>2</v>
      </c>
      <c r="Q57" s="9">
        <v>2</v>
      </c>
      <c r="R57" s="9">
        <v>2</v>
      </c>
      <c r="S57" s="9">
        <v>2</v>
      </c>
      <c r="T57" s="3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F57" s="1"/>
      <c r="AG57" s="1"/>
    </row>
    <row r="58" spans="1:33" ht="16.5" x14ac:dyDescent="0.2">
      <c r="A58" s="66"/>
      <c r="B58" s="66"/>
      <c r="C58" s="64" t="s">
        <v>78</v>
      </c>
      <c r="D58" s="64"/>
      <c r="E58" s="29" t="s">
        <v>148</v>
      </c>
      <c r="F58" s="30"/>
      <c r="G58" s="27">
        <f t="shared" ref="G58:G62" si="6">H58+T58</f>
        <v>2</v>
      </c>
      <c r="H58" s="27">
        <v>2</v>
      </c>
      <c r="I58" s="9">
        <v>2</v>
      </c>
      <c r="J58" s="9">
        <v>2</v>
      </c>
      <c r="K58" s="9">
        <v>2</v>
      </c>
      <c r="L58" s="9">
        <v>2</v>
      </c>
      <c r="M58" s="9">
        <v>2</v>
      </c>
      <c r="N58" s="9">
        <v>2</v>
      </c>
      <c r="O58" s="9">
        <v>2</v>
      </c>
      <c r="P58" s="9">
        <v>2</v>
      </c>
      <c r="Q58" s="9">
        <v>2</v>
      </c>
      <c r="R58" s="9">
        <v>2</v>
      </c>
      <c r="S58" s="9">
        <v>2</v>
      </c>
      <c r="T58" s="3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F58" s="1"/>
      <c r="AG58" s="1"/>
    </row>
    <row r="59" spans="1:33" ht="16.5" x14ac:dyDescent="0.2">
      <c r="A59" s="66"/>
      <c r="B59" s="66"/>
      <c r="C59" s="64" t="s">
        <v>80</v>
      </c>
      <c r="D59" s="64"/>
      <c r="E59" s="29" t="s">
        <v>147</v>
      </c>
      <c r="F59" s="30"/>
      <c r="G59" s="27">
        <f>H59+T60</f>
        <v>3</v>
      </c>
      <c r="H59" s="27">
        <v>2</v>
      </c>
      <c r="I59" s="9">
        <v>2</v>
      </c>
      <c r="J59" s="9">
        <v>2</v>
      </c>
      <c r="K59" s="9">
        <v>2</v>
      </c>
      <c r="L59" s="9">
        <v>2</v>
      </c>
      <c r="M59" s="9">
        <v>2</v>
      </c>
      <c r="N59" s="9">
        <v>2</v>
      </c>
      <c r="O59" s="9">
        <v>2</v>
      </c>
      <c r="P59" s="9">
        <v>2</v>
      </c>
      <c r="Q59" s="9">
        <v>2</v>
      </c>
      <c r="R59" s="9">
        <v>2</v>
      </c>
      <c r="S59" s="9">
        <v>2</v>
      </c>
      <c r="T59" s="3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F59" s="1"/>
      <c r="AG59" s="1"/>
    </row>
    <row r="60" spans="1:33" ht="16.5" x14ac:dyDescent="0.2">
      <c r="A60" s="66"/>
      <c r="B60" s="66"/>
      <c r="C60" s="29"/>
      <c r="D60" s="30"/>
      <c r="E60" s="29"/>
      <c r="F60" s="30"/>
      <c r="G60" s="27"/>
      <c r="H60" s="27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4">
        <v>1</v>
      </c>
      <c r="U60" s="8"/>
      <c r="V60" s="8"/>
      <c r="W60" s="8"/>
      <c r="X60" s="8"/>
      <c r="Y60" s="8"/>
      <c r="Z60" s="8"/>
      <c r="AA60" s="8"/>
      <c r="AB60" s="8"/>
      <c r="AF60" s="1"/>
      <c r="AG60" s="1"/>
    </row>
    <row r="61" spans="1:33" ht="16.5" x14ac:dyDescent="0.2">
      <c r="A61" s="66"/>
      <c r="B61" s="66"/>
      <c r="C61" s="64" t="s">
        <v>167</v>
      </c>
      <c r="D61" s="64"/>
      <c r="E61" s="63" t="s">
        <v>145</v>
      </c>
      <c r="F61" s="63"/>
      <c r="G61" s="27">
        <f t="shared" si="6"/>
        <v>2</v>
      </c>
      <c r="H61" s="27">
        <v>2</v>
      </c>
      <c r="I61" s="9">
        <v>2</v>
      </c>
      <c r="J61" s="9">
        <v>2</v>
      </c>
      <c r="K61" s="9">
        <v>2</v>
      </c>
      <c r="L61" s="9">
        <v>2</v>
      </c>
      <c r="M61" s="9">
        <v>2</v>
      </c>
      <c r="N61" s="9">
        <v>2</v>
      </c>
      <c r="O61" s="9">
        <v>2</v>
      </c>
      <c r="P61" s="9">
        <v>2</v>
      </c>
      <c r="Q61" s="9">
        <v>2</v>
      </c>
      <c r="R61" s="9">
        <v>2</v>
      </c>
      <c r="S61" s="9">
        <v>2</v>
      </c>
      <c r="T61" s="3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F61" s="1"/>
      <c r="AG61" s="1"/>
    </row>
    <row r="62" spans="1:33" ht="16.5" x14ac:dyDescent="0.2">
      <c r="A62" s="66"/>
      <c r="B62" s="66"/>
      <c r="C62" s="64" t="s">
        <v>168</v>
      </c>
      <c r="D62" s="64"/>
      <c r="E62" s="63" t="s">
        <v>146</v>
      </c>
      <c r="F62" s="63"/>
      <c r="G62" s="27">
        <f t="shared" si="6"/>
        <v>2</v>
      </c>
      <c r="H62" s="27">
        <v>2</v>
      </c>
      <c r="I62" s="9">
        <v>2</v>
      </c>
      <c r="J62" s="9">
        <v>2</v>
      </c>
      <c r="K62" s="9">
        <v>2</v>
      </c>
      <c r="L62" s="9">
        <v>2</v>
      </c>
      <c r="M62" s="9">
        <v>2</v>
      </c>
      <c r="N62" s="9">
        <v>2</v>
      </c>
      <c r="O62" s="9">
        <v>2</v>
      </c>
      <c r="P62" s="9">
        <v>2</v>
      </c>
      <c r="Q62" s="9">
        <v>2</v>
      </c>
      <c r="R62" s="9">
        <v>2</v>
      </c>
      <c r="S62" s="9">
        <v>2</v>
      </c>
      <c r="T62" s="3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F62" s="1"/>
      <c r="AG62" s="1"/>
    </row>
    <row r="63" spans="1:33" ht="16.5" x14ac:dyDescent="0.2">
      <c r="A63" s="66"/>
      <c r="B63" s="66"/>
      <c r="C63" s="64" t="s">
        <v>27</v>
      </c>
      <c r="D63" s="64"/>
      <c r="E63" s="67" t="s">
        <v>145</v>
      </c>
      <c r="F63" s="67"/>
      <c r="G63" s="27">
        <f>H63+U64</f>
        <v>3</v>
      </c>
      <c r="H63" s="27">
        <v>2</v>
      </c>
      <c r="I63" s="9">
        <v>2</v>
      </c>
      <c r="J63" s="9">
        <v>2</v>
      </c>
      <c r="K63" s="9">
        <v>2</v>
      </c>
      <c r="L63" s="9">
        <v>2</v>
      </c>
      <c r="M63" s="9">
        <v>2</v>
      </c>
      <c r="N63" s="9">
        <v>2</v>
      </c>
      <c r="O63" s="9">
        <v>2</v>
      </c>
      <c r="P63" s="9">
        <v>2</v>
      </c>
      <c r="Q63" s="9">
        <v>2</v>
      </c>
      <c r="R63" s="9">
        <v>2</v>
      </c>
      <c r="S63" s="9">
        <v>2</v>
      </c>
      <c r="T63" s="9">
        <v>2</v>
      </c>
      <c r="U63" s="3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F63" s="1"/>
      <c r="AG63" s="1"/>
    </row>
    <row r="64" spans="1:33" ht="16.5" x14ac:dyDescent="0.2">
      <c r="A64" s="66"/>
      <c r="B64" s="66"/>
      <c r="C64" s="64"/>
      <c r="D64" s="64"/>
      <c r="E64" s="63"/>
      <c r="F64" s="63"/>
      <c r="G64" s="27"/>
      <c r="H64" s="27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4">
        <v>1</v>
      </c>
      <c r="V64" s="8"/>
      <c r="W64" s="8"/>
      <c r="X64" s="8"/>
      <c r="Y64" s="8"/>
      <c r="Z64" s="8"/>
      <c r="AA64" s="8"/>
      <c r="AB64" s="8"/>
      <c r="AF64" s="1"/>
      <c r="AG64" s="1"/>
    </row>
    <row r="65" spans="1:33" ht="16.5" x14ac:dyDescent="0.2">
      <c r="A65" s="66"/>
      <c r="B65" s="66" t="s">
        <v>28</v>
      </c>
      <c r="C65" s="64" t="s">
        <v>66</v>
      </c>
      <c r="D65" s="64"/>
      <c r="E65" s="29" t="s">
        <v>146</v>
      </c>
      <c r="F65" s="30"/>
      <c r="G65" s="27">
        <f>H65+U65</f>
        <v>2</v>
      </c>
      <c r="H65" s="27">
        <v>2</v>
      </c>
      <c r="I65" s="9">
        <v>2</v>
      </c>
      <c r="J65" s="9">
        <v>2</v>
      </c>
      <c r="K65" s="9">
        <v>2</v>
      </c>
      <c r="L65" s="9">
        <v>2</v>
      </c>
      <c r="M65" s="9">
        <v>2</v>
      </c>
      <c r="N65" s="9">
        <v>2</v>
      </c>
      <c r="O65" s="9">
        <v>2</v>
      </c>
      <c r="P65" s="9">
        <v>2</v>
      </c>
      <c r="Q65" s="9">
        <v>2</v>
      </c>
      <c r="R65" s="9">
        <v>2</v>
      </c>
      <c r="S65" s="9">
        <v>2</v>
      </c>
      <c r="T65" s="9">
        <v>2</v>
      </c>
      <c r="U65" s="3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F65" s="1"/>
      <c r="AG65" s="1"/>
    </row>
    <row r="66" spans="1:33" ht="16.5" x14ac:dyDescent="0.2">
      <c r="A66" s="66"/>
      <c r="B66" s="66"/>
      <c r="C66" s="64" t="s">
        <v>205</v>
      </c>
      <c r="D66" s="64"/>
      <c r="E66" s="29" t="s">
        <v>147</v>
      </c>
      <c r="F66" s="30"/>
      <c r="G66" s="27">
        <f t="shared" ref="G66:G69" si="7">H66+U66</f>
        <v>2</v>
      </c>
      <c r="H66" s="27">
        <v>2</v>
      </c>
      <c r="I66" s="9">
        <v>2</v>
      </c>
      <c r="J66" s="9">
        <v>2</v>
      </c>
      <c r="K66" s="9">
        <v>2</v>
      </c>
      <c r="L66" s="9">
        <v>2</v>
      </c>
      <c r="M66" s="9">
        <v>2</v>
      </c>
      <c r="N66" s="9">
        <v>2</v>
      </c>
      <c r="O66" s="9">
        <v>2</v>
      </c>
      <c r="P66" s="9">
        <v>2</v>
      </c>
      <c r="Q66" s="9">
        <v>2</v>
      </c>
      <c r="R66" s="9">
        <v>2</v>
      </c>
      <c r="S66" s="9">
        <v>2</v>
      </c>
      <c r="T66" s="9">
        <v>2</v>
      </c>
      <c r="U66" s="3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F66" s="1"/>
      <c r="AG66" s="1"/>
    </row>
    <row r="67" spans="1:33" ht="16.5" x14ac:dyDescent="0.2">
      <c r="A67" s="66"/>
      <c r="B67" s="66"/>
      <c r="C67" s="64" t="s">
        <v>206</v>
      </c>
      <c r="D67" s="64"/>
      <c r="E67" s="63" t="s">
        <v>148</v>
      </c>
      <c r="F67" s="63"/>
      <c r="G67" s="27">
        <f>H67+U68</f>
        <v>3</v>
      </c>
      <c r="H67" s="27">
        <v>2</v>
      </c>
      <c r="I67" s="9">
        <v>2</v>
      </c>
      <c r="J67" s="9">
        <v>2</v>
      </c>
      <c r="K67" s="9">
        <v>2</v>
      </c>
      <c r="L67" s="9">
        <v>2</v>
      </c>
      <c r="M67" s="9">
        <v>2</v>
      </c>
      <c r="N67" s="9">
        <v>2</v>
      </c>
      <c r="O67" s="9">
        <v>2</v>
      </c>
      <c r="P67" s="9">
        <v>2</v>
      </c>
      <c r="Q67" s="9">
        <v>2</v>
      </c>
      <c r="R67" s="9">
        <v>2</v>
      </c>
      <c r="S67" s="9">
        <v>2</v>
      </c>
      <c r="T67" s="9">
        <v>2</v>
      </c>
      <c r="U67" s="3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F67" s="1"/>
      <c r="AG67" s="1"/>
    </row>
    <row r="68" spans="1:33" ht="16.5" x14ac:dyDescent="0.2">
      <c r="A68" s="66"/>
      <c r="B68" s="66"/>
      <c r="C68" s="29"/>
      <c r="D68" s="30"/>
      <c r="E68" s="29"/>
      <c r="F68" s="30"/>
      <c r="G68" s="27"/>
      <c r="H68" s="27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4">
        <v>1</v>
      </c>
      <c r="V68" s="8"/>
      <c r="W68" s="8"/>
      <c r="X68" s="8"/>
      <c r="Y68" s="8"/>
      <c r="Z68" s="8"/>
      <c r="AA68" s="8"/>
      <c r="AB68" s="8"/>
      <c r="AF68" s="1"/>
      <c r="AG68" s="1"/>
    </row>
    <row r="69" spans="1:33" ht="16.5" x14ac:dyDescent="0.2">
      <c r="A69" s="66"/>
      <c r="B69" s="66"/>
      <c r="C69" s="64" t="s">
        <v>84</v>
      </c>
      <c r="D69" s="64"/>
      <c r="E69" s="63" t="s">
        <v>149</v>
      </c>
      <c r="F69" s="63"/>
      <c r="G69" s="27">
        <f t="shared" si="7"/>
        <v>2</v>
      </c>
      <c r="H69" s="27">
        <v>2</v>
      </c>
      <c r="I69" s="9">
        <v>2</v>
      </c>
      <c r="J69" s="9">
        <v>2</v>
      </c>
      <c r="K69" s="9">
        <v>2</v>
      </c>
      <c r="L69" s="9">
        <v>2</v>
      </c>
      <c r="M69" s="9">
        <v>2</v>
      </c>
      <c r="N69" s="9">
        <v>2</v>
      </c>
      <c r="O69" s="9">
        <v>2</v>
      </c>
      <c r="P69" s="9">
        <v>2</v>
      </c>
      <c r="Q69" s="9">
        <v>2</v>
      </c>
      <c r="R69" s="9">
        <v>2</v>
      </c>
      <c r="S69" s="9">
        <v>2</v>
      </c>
      <c r="T69" s="9">
        <v>2</v>
      </c>
      <c r="U69" s="3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F69" s="1"/>
      <c r="AG69" s="1"/>
    </row>
    <row r="70" spans="1:33" ht="16.5" x14ac:dyDescent="0.2">
      <c r="A70" s="66"/>
      <c r="B70" s="66"/>
      <c r="C70" s="64" t="s">
        <v>83</v>
      </c>
      <c r="D70" s="64"/>
      <c r="E70" s="29" t="s">
        <v>146</v>
      </c>
      <c r="F70" s="30"/>
      <c r="G70" s="27">
        <f>H70+V70</f>
        <v>2</v>
      </c>
      <c r="H70" s="27">
        <v>2</v>
      </c>
      <c r="I70" s="9">
        <v>2</v>
      </c>
      <c r="J70" s="9">
        <v>2</v>
      </c>
      <c r="K70" s="9">
        <v>2</v>
      </c>
      <c r="L70" s="9">
        <v>2</v>
      </c>
      <c r="M70" s="9">
        <v>2</v>
      </c>
      <c r="N70" s="9">
        <v>2</v>
      </c>
      <c r="O70" s="9">
        <v>2</v>
      </c>
      <c r="P70" s="9">
        <v>2</v>
      </c>
      <c r="Q70" s="9">
        <v>2</v>
      </c>
      <c r="R70" s="9">
        <v>2</v>
      </c>
      <c r="S70" s="9">
        <v>2</v>
      </c>
      <c r="T70" s="9">
        <v>2</v>
      </c>
      <c r="U70" s="9">
        <v>2</v>
      </c>
      <c r="V70" s="3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F70" s="1"/>
      <c r="AG70" s="1"/>
    </row>
    <row r="71" spans="1:33" ht="16.5" x14ac:dyDescent="0.2">
      <c r="A71" s="66"/>
      <c r="B71" s="66"/>
      <c r="C71" s="64" t="s">
        <v>82</v>
      </c>
      <c r="D71" s="64"/>
      <c r="E71" s="29" t="s">
        <v>147</v>
      </c>
      <c r="F71" s="30"/>
      <c r="G71" s="27">
        <f t="shared" ref="G71:G74" si="8">H71+V71</f>
        <v>2</v>
      </c>
      <c r="H71" s="27">
        <v>2</v>
      </c>
      <c r="I71" s="9">
        <v>2</v>
      </c>
      <c r="J71" s="9">
        <v>2</v>
      </c>
      <c r="K71" s="9">
        <v>2</v>
      </c>
      <c r="L71" s="9">
        <v>2</v>
      </c>
      <c r="M71" s="9">
        <v>2</v>
      </c>
      <c r="N71" s="9">
        <v>2</v>
      </c>
      <c r="O71" s="9">
        <v>2</v>
      </c>
      <c r="P71" s="9">
        <v>2</v>
      </c>
      <c r="Q71" s="9">
        <v>2</v>
      </c>
      <c r="R71" s="9">
        <v>2</v>
      </c>
      <c r="S71" s="9">
        <v>2</v>
      </c>
      <c r="T71" s="9">
        <v>2</v>
      </c>
      <c r="U71" s="9">
        <v>2</v>
      </c>
      <c r="V71" s="3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F71" s="1"/>
      <c r="AG71" s="1"/>
    </row>
    <row r="72" spans="1:33" ht="16.5" x14ac:dyDescent="0.2">
      <c r="A72" s="66"/>
      <c r="B72" s="66"/>
      <c r="C72" s="64" t="s">
        <v>81</v>
      </c>
      <c r="D72" s="64"/>
      <c r="E72" s="29" t="s">
        <v>148</v>
      </c>
      <c r="F72" s="30"/>
      <c r="G72" s="27">
        <f>H72+V72</f>
        <v>2</v>
      </c>
      <c r="H72" s="27">
        <v>2</v>
      </c>
      <c r="I72" s="9">
        <v>2</v>
      </c>
      <c r="J72" s="9">
        <v>2</v>
      </c>
      <c r="K72" s="9">
        <v>2</v>
      </c>
      <c r="L72" s="9">
        <v>2</v>
      </c>
      <c r="M72" s="9">
        <v>2</v>
      </c>
      <c r="N72" s="9">
        <v>2</v>
      </c>
      <c r="O72" s="9">
        <v>2</v>
      </c>
      <c r="P72" s="9">
        <v>2</v>
      </c>
      <c r="Q72" s="9">
        <v>2</v>
      </c>
      <c r="R72" s="9">
        <v>2</v>
      </c>
      <c r="S72" s="9">
        <v>2</v>
      </c>
      <c r="T72" s="9">
        <v>2</v>
      </c>
      <c r="U72" s="9">
        <v>2</v>
      </c>
      <c r="V72" s="3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F72" s="1"/>
      <c r="AG72" s="1"/>
    </row>
    <row r="73" spans="1:33" ht="16.5" x14ac:dyDescent="0.2">
      <c r="A73" s="66"/>
      <c r="B73" s="66"/>
      <c r="C73" s="31" t="s">
        <v>170</v>
      </c>
      <c r="D73" s="32"/>
      <c r="E73" s="63" t="s">
        <v>149</v>
      </c>
      <c r="F73" s="63"/>
      <c r="G73" s="27">
        <f t="shared" si="8"/>
        <v>2</v>
      </c>
      <c r="H73" s="27">
        <v>2</v>
      </c>
      <c r="I73" s="9">
        <v>2</v>
      </c>
      <c r="J73" s="9">
        <v>2</v>
      </c>
      <c r="K73" s="9">
        <v>2</v>
      </c>
      <c r="L73" s="9">
        <v>2</v>
      </c>
      <c r="M73" s="9">
        <v>2</v>
      </c>
      <c r="N73" s="9">
        <v>2</v>
      </c>
      <c r="O73" s="9">
        <v>2</v>
      </c>
      <c r="P73" s="9">
        <v>2</v>
      </c>
      <c r="Q73" s="9">
        <v>2</v>
      </c>
      <c r="R73" s="9">
        <v>2</v>
      </c>
      <c r="S73" s="9">
        <v>2</v>
      </c>
      <c r="T73" s="9">
        <v>2</v>
      </c>
      <c r="U73" s="9">
        <v>2</v>
      </c>
      <c r="V73" s="3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F73" s="1"/>
      <c r="AG73" s="1"/>
    </row>
    <row r="74" spans="1:33" ht="16.5" x14ac:dyDescent="0.2">
      <c r="A74" s="66"/>
      <c r="B74" s="66"/>
      <c r="C74" s="31" t="s">
        <v>211</v>
      </c>
      <c r="D74" s="32"/>
      <c r="E74" s="63" t="s">
        <v>145</v>
      </c>
      <c r="F74" s="63"/>
      <c r="G74" s="27">
        <f t="shared" si="8"/>
        <v>2</v>
      </c>
      <c r="H74" s="27">
        <v>2</v>
      </c>
      <c r="I74" s="9">
        <v>2</v>
      </c>
      <c r="J74" s="9">
        <v>2</v>
      </c>
      <c r="K74" s="9">
        <v>2</v>
      </c>
      <c r="L74" s="9">
        <v>2</v>
      </c>
      <c r="M74" s="9">
        <v>2</v>
      </c>
      <c r="N74" s="9">
        <v>2</v>
      </c>
      <c r="O74" s="9">
        <v>2</v>
      </c>
      <c r="P74" s="9">
        <v>2</v>
      </c>
      <c r="Q74" s="9">
        <v>2</v>
      </c>
      <c r="R74" s="9">
        <v>2</v>
      </c>
      <c r="S74" s="9">
        <v>2</v>
      </c>
      <c r="T74" s="9">
        <v>2</v>
      </c>
      <c r="U74" s="9">
        <v>2</v>
      </c>
      <c r="V74" s="3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F74" s="1"/>
      <c r="AG74" s="1"/>
    </row>
    <row r="75" spans="1:33" ht="16.5" x14ac:dyDescent="0.2">
      <c r="A75" s="66"/>
      <c r="B75" s="66" t="s">
        <v>176</v>
      </c>
      <c r="C75" s="31" t="s">
        <v>68</v>
      </c>
      <c r="D75" s="32"/>
      <c r="E75" s="29" t="s">
        <v>149</v>
      </c>
      <c r="F75" s="30"/>
      <c r="G75" s="27">
        <f>H75+W75</f>
        <v>2</v>
      </c>
      <c r="H75" s="27">
        <v>2</v>
      </c>
      <c r="I75" s="9">
        <v>2</v>
      </c>
      <c r="J75" s="9">
        <v>2</v>
      </c>
      <c r="K75" s="9">
        <v>2</v>
      </c>
      <c r="L75" s="9">
        <v>2</v>
      </c>
      <c r="M75" s="9">
        <v>2</v>
      </c>
      <c r="N75" s="9">
        <v>2</v>
      </c>
      <c r="O75" s="9">
        <v>2</v>
      </c>
      <c r="P75" s="9">
        <v>2</v>
      </c>
      <c r="Q75" s="9">
        <v>2</v>
      </c>
      <c r="R75" s="9">
        <v>2</v>
      </c>
      <c r="S75" s="9">
        <v>2</v>
      </c>
      <c r="T75" s="9">
        <v>2</v>
      </c>
      <c r="U75" s="9">
        <v>2</v>
      </c>
      <c r="V75" s="9">
        <v>2</v>
      </c>
      <c r="W75" s="3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F75" s="1"/>
      <c r="AG75" s="1"/>
    </row>
    <row r="76" spans="1:33" ht="16.5" x14ac:dyDescent="0.2">
      <c r="A76" s="66"/>
      <c r="B76" s="66"/>
      <c r="C76" s="31" t="s">
        <v>204</v>
      </c>
      <c r="D76" s="32"/>
      <c r="E76" s="29" t="s">
        <v>148</v>
      </c>
      <c r="F76" s="30"/>
      <c r="G76" s="27">
        <f>H76+W76</f>
        <v>2</v>
      </c>
      <c r="H76" s="27">
        <v>2</v>
      </c>
      <c r="I76" s="9">
        <v>2</v>
      </c>
      <c r="J76" s="9">
        <v>2</v>
      </c>
      <c r="K76" s="9">
        <v>2</v>
      </c>
      <c r="L76" s="9">
        <v>2</v>
      </c>
      <c r="M76" s="9">
        <v>2</v>
      </c>
      <c r="N76" s="9">
        <v>2</v>
      </c>
      <c r="O76" s="9">
        <v>2</v>
      </c>
      <c r="P76" s="9">
        <v>2</v>
      </c>
      <c r="Q76" s="9">
        <v>2</v>
      </c>
      <c r="R76" s="9">
        <v>2</v>
      </c>
      <c r="S76" s="9">
        <v>2</v>
      </c>
      <c r="T76" s="9">
        <v>2</v>
      </c>
      <c r="U76" s="9">
        <v>2</v>
      </c>
      <c r="V76" s="9">
        <v>2</v>
      </c>
      <c r="W76" s="3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F76" s="1"/>
      <c r="AG76" s="1"/>
    </row>
    <row r="77" spans="1:33" ht="16.5" x14ac:dyDescent="0.2">
      <c r="A77" s="66"/>
      <c r="B77" s="66"/>
      <c r="C77" s="31" t="s">
        <v>89</v>
      </c>
      <c r="D77" s="32"/>
      <c r="E77" s="63" t="s">
        <v>147</v>
      </c>
      <c r="F77" s="63"/>
      <c r="G77" s="27">
        <f>H77+W77</f>
        <v>2</v>
      </c>
      <c r="H77" s="27">
        <v>2</v>
      </c>
      <c r="I77" s="9">
        <v>2</v>
      </c>
      <c r="J77" s="9">
        <v>2</v>
      </c>
      <c r="K77" s="9">
        <v>2</v>
      </c>
      <c r="L77" s="9">
        <v>2</v>
      </c>
      <c r="M77" s="9">
        <v>2</v>
      </c>
      <c r="N77" s="9">
        <v>2</v>
      </c>
      <c r="O77" s="9">
        <v>2</v>
      </c>
      <c r="P77" s="9">
        <v>2</v>
      </c>
      <c r="Q77" s="9">
        <v>2</v>
      </c>
      <c r="R77" s="9">
        <v>2</v>
      </c>
      <c r="S77" s="9">
        <v>2</v>
      </c>
      <c r="T77" s="9">
        <v>2</v>
      </c>
      <c r="U77" s="9">
        <v>2</v>
      </c>
      <c r="V77" s="9">
        <v>2</v>
      </c>
      <c r="W77" s="3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F77" s="1"/>
      <c r="AG77" s="1"/>
    </row>
    <row r="78" spans="1:33" ht="16.5" x14ac:dyDescent="0.2">
      <c r="A78" s="66"/>
      <c r="B78" s="66"/>
      <c r="C78" s="31" t="s">
        <v>207</v>
      </c>
      <c r="D78" s="32"/>
      <c r="E78" s="63" t="s">
        <v>145</v>
      </c>
      <c r="F78" s="63"/>
      <c r="G78" s="27">
        <f>H78+W78</f>
        <v>2</v>
      </c>
      <c r="H78" s="27">
        <v>2</v>
      </c>
      <c r="I78" s="9">
        <v>2</v>
      </c>
      <c r="J78" s="9">
        <v>2</v>
      </c>
      <c r="K78" s="9">
        <v>2</v>
      </c>
      <c r="L78" s="9">
        <v>2</v>
      </c>
      <c r="M78" s="9">
        <v>2</v>
      </c>
      <c r="N78" s="9">
        <v>2</v>
      </c>
      <c r="O78" s="9">
        <v>2</v>
      </c>
      <c r="P78" s="9">
        <v>2</v>
      </c>
      <c r="Q78" s="9">
        <v>2</v>
      </c>
      <c r="R78" s="9">
        <v>2</v>
      </c>
      <c r="S78" s="9">
        <v>2</v>
      </c>
      <c r="T78" s="9">
        <v>2</v>
      </c>
      <c r="U78" s="9">
        <v>2</v>
      </c>
      <c r="V78" s="9">
        <v>2</v>
      </c>
      <c r="W78" s="3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F78" s="1"/>
      <c r="AG78" s="1"/>
    </row>
    <row r="79" spans="1:33" ht="16.5" x14ac:dyDescent="0.2">
      <c r="A79" s="66"/>
      <c r="B79" s="66"/>
      <c r="C79" s="31" t="s">
        <v>88</v>
      </c>
      <c r="D79" s="32"/>
      <c r="E79" s="63" t="s">
        <v>146</v>
      </c>
      <c r="F79" s="63"/>
      <c r="G79" s="27">
        <f>H79+W79</f>
        <v>2</v>
      </c>
      <c r="H79" s="27">
        <v>2</v>
      </c>
      <c r="I79" s="9">
        <v>2</v>
      </c>
      <c r="J79" s="9">
        <v>2</v>
      </c>
      <c r="K79" s="9">
        <v>2</v>
      </c>
      <c r="L79" s="9">
        <v>2</v>
      </c>
      <c r="M79" s="9">
        <v>2</v>
      </c>
      <c r="N79" s="9">
        <v>2</v>
      </c>
      <c r="O79" s="9">
        <v>2</v>
      </c>
      <c r="P79" s="9">
        <v>2</v>
      </c>
      <c r="Q79" s="9">
        <v>2</v>
      </c>
      <c r="R79" s="9">
        <v>2</v>
      </c>
      <c r="S79" s="9">
        <v>2</v>
      </c>
      <c r="T79" s="9">
        <v>2</v>
      </c>
      <c r="U79" s="9">
        <v>2</v>
      </c>
      <c r="V79" s="9">
        <v>2</v>
      </c>
      <c r="W79" s="3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F79" s="1"/>
      <c r="AG79" s="1"/>
    </row>
    <row r="80" spans="1:33" ht="16.5" x14ac:dyDescent="0.2">
      <c r="A80" s="66"/>
      <c r="B80" s="66"/>
      <c r="C80" s="31" t="s">
        <v>87</v>
      </c>
      <c r="D80" s="32"/>
      <c r="E80" s="29" t="s">
        <v>149</v>
      </c>
      <c r="F80" s="30"/>
      <c r="G80" s="27">
        <f>H80+X80</f>
        <v>2</v>
      </c>
      <c r="H80" s="27">
        <v>2</v>
      </c>
      <c r="I80" s="9">
        <v>2</v>
      </c>
      <c r="J80" s="9">
        <v>2</v>
      </c>
      <c r="K80" s="9">
        <v>2</v>
      </c>
      <c r="L80" s="9">
        <v>2</v>
      </c>
      <c r="M80" s="9">
        <v>2</v>
      </c>
      <c r="N80" s="9">
        <v>2</v>
      </c>
      <c r="O80" s="9">
        <v>2</v>
      </c>
      <c r="P80" s="9">
        <v>2</v>
      </c>
      <c r="Q80" s="9">
        <v>2</v>
      </c>
      <c r="R80" s="9">
        <v>2</v>
      </c>
      <c r="S80" s="9">
        <v>2</v>
      </c>
      <c r="T80" s="9">
        <v>2</v>
      </c>
      <c r="U80" s="9">
        <v>2</v>
      </c>
      <c r="V80" s="9">
        <v>2</v>
      </c>
      <c r="W80" s="9">
        <v>2</v>
      </c>
      <c r="X80" s="3">
        <v>0</v>
      </c>
      <c r="Y80" s="8">
        <v>0</v>
      </c>
      <c r="Z80" s="8">
        <v>0</v>
      </c>
      <c r="AA80" s="8">
        <v>0</v>
      </c>
      <c r="AB80" s="8">
        <v>0</v>
      </c>
      <c r="AF80" s="1"/>
      <c r="AG80" s="1"/>
    </row>
    <row r="81" spans="1:33" ht="16.5" x14ac:dyDescent="0.2">
      <c r="A81" s="66"/>
      <c r="B81" s="66"/>
      <c r="C81" s="31" t="s">
        <v>86</v>
      </c>
      <c r="D81" s="32"/>
      <c r="E81" s="29" t="s">
        <v>148</v>
      </c>
      <c r="F81" s="30"/>
      <c r="G81" s="27">
        <f>H81+X81</f>
        <v>2</v>
      </c>
      <c r="H81" s="27">
        <v>2</v>
      </c>
      <c r="I81" s="9">
        <v>2</v>
      </c>
      <c r="J81" s="9">
        <v>2</v>
      </c>
      <c r="K81" s="9">
        <v>2</v>
      </c>
      <c r="L81" s="9">
        <v>2</v>
      </c>
      <c r="M81" s="9">
        <v>2</v>
      </c>
      <c r="N81" s="9">
        <v>2</v>
      </c>
      <c r="O81" s="9">
        <v>2</v>
      </c>
      <c r="P81" s="9">
        <v>2</v>
      </c>
      <c r="Q81" s="9">
        <v>2</v>
      </c>
      <c r="R81" s="9">
        <v>2</v>
      </c>
      <c r="S81" s="9">
        <v>2</v>
      </c>
      <c r="T81" s="9">
        <v>2</v>
      </c>
      <c r="U81" s="9">
        <v>2</v>
      </c>
      <c r="V81" s="9">
        <v>2</v>
      </c>
      <c r="W81" s="9">
        <v>2</v>
      </c>
      <c r="X81" s="3">
        <v>0</v>
      </c>
      <c r="Y81" s="8">
        <v>0</v>
      </c>
      <c r="Z81" s="8">
        <v>0</v>
      </c>
      <c r="AA81" s="8">
        <v>0</v>
      </c>
      <c r="AB81" s="8">
        <v>0</v>
      </c>
      <c r="AF81" s="1"/>
      <c r="AG81" s="1"/>
    </row>
    <row r="82" spans="1:33" ht="16.5" x14ac:dyDescent="0.2">
      <c r="A82" s="66"/>
      <c r="B82" s="66"/>
      <c r="C82" s="31" t="s">
        <v>85</v>
      </c>
      <c r="D82" s="32"/>
      <c r="E82" s="63" t="s">
        <v>147</v>
      </c>
      <c r="F82" s="63"/>
      <c r="G82" s="27">
        <f>H82+X82</f>
        <v>2</v>
      </c>
      <c r="H82" s="27">
        <v>2</v>
      </c>
      <c r="I82" s="9">
        <v>2</v>
      </c>
      <c r="J82" s="9">
        <v>2</v>
      </c>
      <c r="K82" s="9">
        <v>2</v>
      </c>
      <c r="L82" s="9">
        <v>2</v>
      </c>
      <c r="M82" s="9">
        <v>2</v>
      </c>
      <c r="N82" s="9">
        <v>2</v>
      </c>
      <c r="O82" s="9">
        <v>2</v>
      </c>
      <c r="P82" s="9">
        <v>2</v>
      </c>
      <c r="Q82" s="9">
        <v>2</v>
      </c>
      <c r="R82" s="9">
        <v>2</v>
      </c>
      <c r="S82" s="9">
        <v>2</v>
      </c>
      <c r="T82" s="9">
        <v>2</v>
      </c>
      <c r="U82" s="9">
        <v>2</v>
      </c>
      <c r="V82" s="9">
        <v>2</v>
      </c>
      <c r="W82" s="9">
        <v>2</v>
      </c>
      <c r="X82" s="3">
        <v>0</v>
      </c>
      <c r="Y82" s="8">
        <v>0</v>
      </c>
      <c r="Z82" s="8">
        <v>0</v>
      </c>
      <c r="AA82" s="8">
        <v>0</v>
      </c>
      <c r="AB82" s="8">
        <v>0</v>
      </c>
      <c r="AF82" s="1"/>
      <c r="AG82" s="1"/>
    </row>
    <row r="83" spans="1:33" ht="16.5" x14ac:dyDescent="0.2">
      <c r="A83" s="66"/>
      <c r="B83" s="66"/>
      <c r="C83" s="31" t="s">
        <v>171</v>
      </c>
      <c r="D83" s="32"/>
      <c r="E83" s="63" t="s">
        <v>145</v>
      </c>
      <c r="F83" s="63"/>
      <c r="G83" s="27">
        <f>H83+X83</f>
        <v>2</v>
      </c>
      <c r="H83" s="27">
        <v>2</v>
      </c>
      <c r="I83" s="9">
        <v>2</v>
      </c>
      <c r="J83" s="9">
        <v>2</v>
      </c>
      <c r="K83" s="9">
        <v>2</v>
      </c>
      <c r="L83" s="9">
        <v>2</v>
      </c>
      <c r="M83" s="9">
        <v>2</v>
      </c>
      <c r="N83" s="9">
        <v>2</v>
      </c>
      <c r="O83" s="9">
        <v>2</v>
      </c>
      <c r="P83" s="9">
        <v>2</v>
      </c>
      <c r="Q83" s="9">
        <v>2</v>
      </c>
      <c r="R83" s="9">
        <v>2</v>
      </c>
      <c r="S83" s="9">
        <v>2</v>
      </c>
      <c r="T83" s="9">
        <v>2</v>
      </c>
      <c r="U83" s="9">
        <v>2</v>
      </c>
      <c r="V83" s="9">
        <v>2</v>
      </c>
      <c r="W83" s="9">
        <v>2</v>
      </c>
      <c r="X83" s="3">
        <v>0</v>
      </c>
      <c r="Y83" s="8">
        <v>0</v>
      </c>
      <c r="Z83" s="8">
        <v>0</v>
      </c>
      <c r="AA83" s="8">
        <v>0</v>
      </c>
      <c r="AB83" s="8">
        <v>0</v>
      </c>
      <c r="AF83" s="1"/>
      <c r="AG83" s="1"/>
    </row>
    <row r="84" spans="1:33" ht="16.5" x14ac:dyDescent="0.2">
      <c r="A84" s="66"/>
      <c r="B84" s="66"/>
      <c r="C84" s="31" t="s">
        <v>210</v>
      </c>
      <c r="D84" s="32"/>
      <c r="E84" s="63" t="s">
        <v>146</v>
      </c>
      <c r="F84" s="63"/>
      <c r="G84" s="27">
        <f>H84+X84</f>
        <v>2</v>
      </c>
      <c r="H84" s="27">
        <v>2</v>
      </c>
      <c r="I84" s="9">
        <v>2</v>
      </c>
      <c r="J84" s="9">
        <v>2</v>
      </c>
      <c r="K84" s="9">
        <v>2</v>
      </c>
      <c r="L84" s="9">
        <v>2</v>
      </c>
      <c r="M84" s="9">
        <v>2</v>
      </c>
      <c r="N84" s="9">
        <v>2</v>
      </c>
      <c r="O84" s="9">
        <v>2</v>
      </c>
      <c r="P84" s="9">
        <v>2</v>
      </c>
      <c r="Q84" s="9">
        <v>2</v>
      </c>
      <c r="R84" s="9">
        <v>2</v>
      </c>
      <c r="S84" s="9">
        <v>2</v>
      </c>
      <c r="T84" s="9">
        <v>2</v>
      </c>
      <c r="U84" s="9">
        <v>2</v>
      </c>
      <c r="V84" s="9">
        <v>2</v>
      </c>
      <c r="W84" s="9">
        <v>2</v>
      </c>
      <c r="X84" s="3">
        <v>0</v>
      </c>
      <c r="Y84" s="8">
        <v>0</v>
      </c>
      <c r="Z84" s="8">
        <v>0</v>
      </c>
      <c r="AA84" s="8">
        <v>0</v>
      </c>
      <c r="AB84" s="8">
        <v>0</v>
      </c>
      <c r="AF84" s="1"/>
      <c r="AG84" s="1"/>
    </row>
    <row r="85" spans="1:33" ht="16.5" x14ac:dyDescent="0.2">
      <c r="A85" s="66"/>
      <c r="B85" s="66" t="s">
        <v>30</v>
      </c>
      <c r="C85" s="64" t="s">
        <v>241</v>
      </c>
      <c r="D85" s="64"/>
      <c r="E85" s="29" t="s">
        <v>146</v>
      </c>
      <c r="F85" s="30"/>
      <c r="G85" s="27">
        <f>H85+Y85</f>
        <v>2</v>
      </c>
      <c r="H85" s="27">
        <v>2</v>
      </c>
      <c r="I85" s="9">
        <v>2</v>
      </c>
      <c r="J85" s="9">
        <v>2</v>
      </c>
      <c r="K85" s="9">
        <v>2</v>
      </c>
      <c r="L85" s="9">
        <v>2</v>
      </c>
      <c r="M85" s="9">
        <v>2</v>
      </c>
      <c r="N85" s="9">
        <v>2</v>
      </c>
      <c r="O85" s="9">
        <v>2</v>
      </c>
      <c r="P85" s="9">
        <v>2</v>
      </c>
      <c r="Q85" s="9">
        <v>2</v>
      </c>
      <c r="R85" s="9">
        <v>2</v>
      </c>
      <c r="S85" s="9">
        <v>2</v>
      </c>
      <c r="T85" s="9">
        <v>2</v>
      </c>
      <c r="U85" s="9">
        <v>2</v>
      </c>
      <c r="V85" s="9">
        <v>2</v>
      </c>
      <c r="W85" s="9">
        <v>2</v>
      </c>
      <c r="X85" s="9">
        <v>2</v>
      </c>
      <c r="Y85" s="3">
        <v>0</v>
      </c>
      <c r="Z85" s="8">
        <v>0</v>
      </c>
      <c r="AA85" s="8">
        <v>0</v>
      </c>
      <c r="AB85" s="8">
        <v>0</v>
      </c>
      <c r="AF85" s="1"/>
      <c r="AG85" s="1"/>
    </row>
    <row r="86" spans="1:33" ht="16.5" x14ac:dyDescent="0.2">
      <c r="A86" s="66"/>
      <c r="B86" s="66"/>
      <c r="C86" s="64" t="s">
        <v>161</v>
      </c>
      <c r="D86" s="64"/>
      <c r="E86" s="29" t="s">
        <v>147</v>
      </c>
      <c r="F86" s="30"/>
      <c r="G86" s="27">
        <f>H86+Y86</f>
        <v>2</v>
      </c>
      <c r="H86" s="27">
        <v>2</v>
      </c>
      <c r="I86" s="9">
        <v>2</v>
      </c>
      <c r="J86" s="9">
        <v>2</v>
      </c>
      <c r="K86" s="9">
        <v>2</v>
      </c>
      <c r="L86" s="9">
        <v>2</v>
      </c>
      <c r="M86" s="9">
        <v>2</v>
      </c>
      <c r="N86" s="9">
        <v>2</v>
      </c>
      <c r="O86" s="9">
        <v>2</v>
      </c>
      <c r="P86" s="9">
        <v>2</v>
      </c>
      <c r="Q86" s="9">
        <v>2</v>
      </c>
      <c r="R86" s="9">
        <v>2</v>
      </c>
      <c r="S86" s="9">
        <v>2</v>
      </c>
      <c r="T86" s="9">
        <v>2</v>
      </c>
      <c r="U86" s="9">
        <v>2</v>
      </c>
      <c r="V86" s="9">
        <v>2</v>
      </c>
      <c r="W86" s="9">
        <v>2</v>
      </c>
      <c r="X86" s="9">
        <v>2</v>
      </c>
      <c r="Y86" s="3">
        <v>0</v>
      </c>
      <c r="Z86" s="8">
        <v>0</v>
      </c>
      <c r="AA86" s="8">
        <v>0</v>
      </c>
      <c r="AB86" s="8">
        <v>0</v>
      </c>
      <c r="AF86" s="1"/>
      <c r="AG86" s="1"/>
    </row>
    <row r="87" spans="1:33" ht="16.5" x14ac:dyDescent="0.2">
      <c r="A87" s="66"/>
      <c r="B87" s="66"/>
      <c r="C87" s="64" t="s">
        <v>90</v>
      </c>
      <c r="D87" s="64"/>
      <c r="E87" s="63" t="s">
        <v>148</v>
      </c>
      <c r="F87" s="63"/>
      <c r="G87" s="27">
        <f>H87+Y87</f>
        <v>2</v>
      </c>
      <c r="H87" s="27">
        <v>2</v>
      </c>
      <c r="I87" s="9">
        <v>2</v>
      </c>
      <c r="J87" s="9">
        <v>2</v>
      </c>
      <c r="K87" s="9">
        <v>2</v>
      </c>
      <c r="L87" s="9">
        <v>2</v>
      </c>
      <c r="M87" s="9">
        <v>2</v>
      </c>
      <c r="N87" s="9">
        <v>2</v>
      </c>
      <c r="O87" s="9">
        <v>2</v>
      </c>
      <c r="P87" s="9">
        <v>2</v>
      </c>
      <c r="Q87" s="9">
        <v>2</v>
      </c>
      <c r="R87" s="9">
        <v>2</v>
      </c>
      <c r="S87" s="9">
        <v>2</v>
      </c>
      <c r="T87" s="9">
        <v>2</v>
      </c>
      <c r="U87" s="9">
        <v>2</v>
      </c>
      <c r="V87" s="9">
        <v>2</v>
      </c>
      <c r="W87" s="9">
        <v>2</v>
      </c>
      <c r="X87" s="9">
        <v>2</v>
      </c>
      <c r="Y87" s="3">
        <v>0</v>
      </c>
      <c r="Z87" s="8">
        <v>0</v>
      </c>
      <c r="AA87" s="8">
        <v>0</v>
      </c>
      <c r="AB87" s="8">
        <v>0</v>
      </c>
      <c r="AF87" s="1"/>
      <c r="AG87" s="1"/>
    </row>
    <row r="88" spans="1:33" ht="16.5" x14ac:dyDescent="0.2">
      <c r="A88" s="66"/>
      <c r="B88" s="66"/>
      <c r="C88" s="64" t="s">
        <v>208</v>
      </c>
      <c r="D88" s="64"/>
      <c r="E88" s="63" t="s">
        <v>149</v>
      </c>
      <c r="F88" s="63"/>
      <c r="G88" s="27">
        <f>H88+Y88</f>
        <v>2</v>
      </c>
      <c r="H88" s="27">
        <v>2</v>
      </c>
      <c r="I88" s="9">
        <v>2</v>
      </c>
      <c r="J88" s="9">
        <v>2</v>
      </c>
      <c r="K88" s="9">
        <v>2</v>
      </c>
      <c r="L88" s="9">
        <v>2</v>
      </c>
      <c r="M88" s="9">
        <v>2</v>
      </c>
      <c r="N88" s="9">
        <v>2</v>
      </c>
      <c r="O88" s="9">
        <v>2</v>
      </c>
      <c r="P88" s="9">
        <v>2</v>
      </c>
      <c r="Q88" s="9">
        <v>2</v>
      </c>
      <c r="R88" s="9">
        <v>2</v>
      </c>
      <c r="S88" s="9">
        <v>2</v>
      </c>
      <c r="T88" s="9">
        <v>2</v>
      </c>
      <c r="U88" s="9">
        <v>2</v>
      </c>
      <c r="V88" s="9">
        <v>2</v>
      </c>
      <c r="W88" s="9">
        <v>2</v>
      </c>
      <c r="X88" s="9">
        <v>2</v>
      </c>
      <c r="Y88" s="3">
        <v>0</v>
      </c>
      <c r="Z88" s="8">
        <v>0</v>
      </c>
      <c r="AA88" s="8">
        <v>0</v>
      </c>
      <c r="AB88" s="8">
        <v>0</v>
      </c>
      <c r="AF88" s="1"/>
      <c r="AG88" s="1"/>
    </row>
    <row r="89" spans="1:33" ht="16.5" x14ac:dyDescent="0.2">
      <c r="A89" s="66"/>
      <c r="B89" s="66"/>
      <c r="C89" s="64" t="s">
        <v>91</v>
      </c>
      <c r="D89" s="64"/>
      <c r="E89" s="63" t="s">
        <v>145</v>
      </c>
      <c r="F89" s="63"/>
      <c r="G89" s="27">
        <f>H89+Y89</f>
        <v>2</v>
      </c>
      <c r="H89" s="27">
        <v>2</v>
      </c>
      <c r="I89" s="9">
        <v>2</v>
      </c>
      <c r="J89" s="9">
        <v>2</v>
      </c>
      <c r="K89" s="9">
        <v>2</v>
      </c>
      <c r="L89" s="9">
        <v>2</v>
      </c>
      <c r="M89" s="9">
        <v>2</v>
      </c>
      <c r="N89" s="9">
        <v>2</v>
      </c>
      <c r="O89" s="9">
        <v>2</v>
      </c>
      <c r="P89" s="9">
        <v>2</v>
      </c>
      <c r="Q89" s="9">
        <v>2</v>
      </c>
      <c r="R89" s="9">
        <v>2</v>
      </c>
      <c r="S89" s="9">
        <v>2</v>
      </c>
      <c r="T89" s="9">
        <v>2</v>
      </c>
      <c r="U89" s="9">
        <v>2</v>
      </c>
      <c r="V89" s="9">
        <v>2</v>
      </c>
      <c r="W89" s="9">
        <v>2</v>
      </c>
      <c r="X89" s="9">
        <v>2</v>
      </c>
      <c r="Y89" s="3">
        <v>0</v>
      </c>
      <c r="Z89" s="8">
        <v>0</v>
      </c>
      <c r="AA89" s="8">
        <v>0</v>
      </c>
      <c r="AB89" s="8">
        <v>0</v>
      </c>
      <c r="AF89" s="1"/>
      <c r="AG89" s="1"/>
    </row>
    <row r="90" spans="1:33" ht="16.5" x14ac:dyDescent="0.2">
      <c r="A90" s="66"/>
      <c r="B90" s="66"/>
      <c r="C90" s="64" t="s">
        <v>92</v>
      </c>
      <c r="D90" s="64"/>
      <c r="E90" s="29" t="s">
        <v>146</v>
      </c>
      <c r="F90" s="30"/>
      <c r="G90" s="27">
        <f>H90+Z90</f>
        <v>2</v>
      </c>
      <c r="H90" s="27">
        <v>2</v>
      </c>
      <c r="I90" s="9">
        <v>2</v>
      </c>
      <c r="J90" s="9">
        <v>2</v>
      </c>
      <c r="K90" s="9">
        <v>2</v>
      </c>
      <c r="L90" s="9">
        <v>2</v>
      </c>
      <c r="M90" s="9">
        <v>2</v>
      </c>
      <c r="N90" s="9">
        <v>2</v>
      </c>
      <c r="O90" s="9">
        <v>2</v>
      </c>
      <c r="P90" s="9">
        <v>2</v>
      </c>
      <c r="Q90" s="9">
        <v>2</v>
      </c>
      <c r="R90" s="9">
        <v>2</v>
      </c>
      <c r="S90" s="9">
        <v>2</v>
      </c>
      <c r="T90" s="9">
        <v>2</v>
      </c>
      <c r="U90" s="9">
        <v>2</v>
      </c>
      <c r="V90" s="9">
        <v>2</v>
      </c>
      <c r="W90" s="9">
        <v>2</v>
      </c>
      <c r="X90" s="9">
        <v>2</v>
      </c>
      <c r="Y90" s="9">
        <v>2</v>
      </c>
      <c r="Z90" s="3">
        <v>0</v>
      </c>
      <c r="AA90" s="8">
        <v>0</v>
      </c>
      <c r="AB90" s="8">
        <v>0</v>
      </c>
      <c r="AF90" s="1"/>
      <c r="AG90" s="1"/>
    </row>
    <row r="91" spans="1:33" ht="16.5" x14ac:dyDescent="0.2">
      <c r="A91" s="66"/>
      <c r="B91" s="66"/>
      <c r="C91" s="64" t="s">
        <v>172</v>
      </c>
      <c r="D91" s="64"/>
      <c r="E91" s="29" t="s">
        <v>147</v>
      </c>
      <c r="F91" s="30"/>
      <c r="G91" s="27">
        <f>H91+Z91</f>
        <v>2</v>
      </c>
      <c r="H91" s="27">
        <v>2</v>
      </c>
      <c r="I91" s="9">
        <v>2</v>
      </c>
      <c r="J91" s="9">
        <v>2</v>
      </c>
      <c r="K91" s="9">
        <v>2</v>
      </c>
      <c r="L91" s="9">
        <v>2</v>
      </c>
      <c r="M91" s="9">
        <v>2</v>
      </c>
      <c r="N91" s="9">
        <v>2</v>
      </c>
      <c r="O91" s="9">
        <v>2</v>
      </c>
      <c r="P91" s="9">
        <v>2</v>
      </c>
      <c r="Q91" s="9">
        <v>2</v>
      </c>
      <c r="R91" s="9">
        <v>2</v>
      </c>
      <c r="S91" s="9">
        <v>2</v>
      </c>
      <c r="T91" s="9">
        <v>2</v>
      </c>
      <c r="U91" s="9">
        <v>2</v>
      </c>
      <c r="V91" s="9">
        <v>2</v>
      </c>
      <c r="W91" s="9">
        <v>2</v>
      </c>
      <c r="X91" s="9">
        <v>2</v>
      </c>
      <c r="Y91" s="9">
        <v>2</v>
      </c>
      <c r="Z91" s="3">
        <v>0</v>
      </c>
      <c r="AA91" s="8">
        <v>0</v>
      </c>
      <c r="AB91" s="8">
        <v>0</v>
      </c>
      <c r="AF91" s="1"/>
      <c r="AG91" s="1"/>
    </row>
    <row r="92" spans="1:33" ht="16.5" x14ac:dyDescent="0.2">
      <c r="A92" s="66"/>
      <c r="B92" s="66"/>
      <c r="C92" s="31" t="s">
        <v>173</v>
      </c>
      <c r="D92" s="32"/>
      <c r="E92" s="63" t="s">
        <v>148</v>
      </c>
      <c r="F92" s="63"/>
      <c r="G92" s="27">
        <f>H92+Z92</f>
        <v>2</v>
      </c>
      <c r="H92" s="27">
        <v>2</v>
      </c>
      <c r="I92" s="9">
        <v>2</v>
      </c>
      <c r="J92" s="9">
        <v>2</v>
      </c>
      <c r="K92" s="9">
        <v>2</v>
      </c>
      <c r="L92" s="9">
        <v>2</v>
      </c>
      <c r="M92" s="9">
        <v>2</v>
      </c>
      <c r="N92" s="9">
        <v>2</v>
      </c>
      <c r="O92" s="9">
        <v>2</v>
      </c>
      <c r="P92" s="9">
        <v>2</v>
      </c>
      <c r="Q92" s="9">
        <v>2</v>
      </c>
      <c r="R92" s="9">
        <v>2</v>
      </c>
      <c r="S92" s="9">
        <v>2</v>
      </c>
      <c r="T92" s="9">
        <v>2</v>
      </c>
      <c r="U92" s="9">
        <v>2</v>
      </c>
      <c r="V92" s="9">
        <v>2</v>
      </c>
      <c r="W92" s="9">
        <v>2</v>
      </c>
      <c r="X92" s="9">
        <v>2</v>
      </c>
      <c r="Y92" s="9">
        <v>2</v>
      </c>
      <c r="Z92" s="3">
        <v>0</v>
      </c>
      <c r="AA92" s="8">
        <v>0</v>
      </c>
      <c r="AB92" s="8">
        <v>0</v>
      </c>
      <c r="AF92" s="1"/>
      <c r="AG92" s="1"/>
    </row>
    <row r="93" spans="1:33" ht="16.5" x14ac:dyDescent="0.2">
      <c r="A93" s="66"/>
      <c r="B93" s="66"/>
      <c r="C93" s="31" t="s">
        <v>174</v>
      </c>
      <c r="D93" s="32"/>
      <c r="E93" s="63" t="s">
        <v>149</v>
      </c>
      <c r="F93" s="63"/>
      <c r="G93" s="27">
        <f>H93+Z93</f>
        <v>2</v>
      </c>
      <c r="H93" s="27">
        <v>2</v>
      </c>
      <c r="I93" s="9">
        <v>2</v>
      </c>
      <c r="J93" s="9">
        <v>2</v>
      </c>
      <c r="K93" s="9">
        <v>2</v>
      </c>
      <c r="L93" s="9">
        <v>2</v>
      </c>
      <c r="M93" s="9">
        <v>2</v>
      </c>
      <c r="N93" s="9">
        <v>2</v>
      </c>
      <c r="O93" s="9">
        <v>2</v>
      </c>
      <c r="P93" s="9">
        <v>2</v>
      </c>
      <c r="Q93" s="9">
        <v>2</v>
      </c>
      <c r="R93" s="9">
        <v>2</v>
      </c>
      <c r="S93" s="9">
        <v>2</v>
      </c>
      <c r="T93" s="9">
        <v>2</v>
      </c>
      <c r="U93" s="9">
        <v>2</v>
      </c>
      <c r="V93" s="9">
        <v>2</v>
      </c>
      <c r="W93" s="9">
        <v>2</v>
      </c>
      <c r="X93" s="9">
        <v>2</v>
      </c>
      <c r="Y93" s="9">
        <v>2</v>
      </c>
      <c r="Z93" s="3">
        <v>0</v>
      </c>
      <c r="AA93" s="8">
        <v>0</v>
      </c>
      <c r="AB93" s="8">
        <v>0</v>
      </c>
      <c r="AF93" s="1"/>
      <c r="AG93" s="1"/>
    </row>
    <row r="94" spans="1:33" ht="16.5" x14ac:dyDescent="0.2">
      <c r="A94" s="66"/>
      <c r="B94" s="66"/>
      <c r="C94" s="64" t="s">
        <v>209</v>
      </c>
      <c r="D94" s="64"/>
      <c r="E94" s="63" t="s">
        <v>145</v>
      </c>
      <c r="F94" s="63"/>
      <c r="G94" s="27">
        <f>H94+Z94</f>
        <v>2</v>
      </c>
      <c r="H94" s="27">
        <v>2</v>
      </c>
      <c r="I94" s="9">
        <v>2</v>
      </c>
      <c r="J94" s="9">
        <v>2</v>
      </c>
      <c r="K94" s="9">
        <v>2</v>
      </c>
      <c r="L94" s="9">
        <v>2</v>
      </c>
      <c r="M94" s="9">
        <v>2</v>
      </c>
      <c r="N94" s="9">
        <v>2</v>
      </c>
      <c r="O94" s="9">
        <v>2</v>
      </c>
      <c r="P94" s="9">
        <v>2</v>
      </c>
      <c r="Q94" s="9">
        <v>2</v>
      </c>
      <c r="R94" s="9">
        <v>2</v>
      </c>
      <c r="S94" s="9">
        <v>2</v>
      </c>
      <c r="T94" s="9">
        <v>2</v>
      </c>
      <c r="U94" s="9">
        <v>2</v>
      </c>
      <c r="V94" s="9">
        <v>2</v>
      </c>
      <c r="W94" s="9">
        <v>2</v>
      </c>
      <c r="X94" s="9">
        <v>2</v>
      </c>
      <c r="Y94" s="9">
        <v>2</v>
      </c>
      <c r="Z94" s="3">
        <v>0</v>
      </c>
      <c r="AA94" s="8">
        <v>0</v>
      </c>
      <c r="AB94" s="8">
        <v>0</v>
      </c>
      <c r="AF94" s="1"/>
      <c r="AG94" s="1"/>
    </row>
    <row r="95" spans="1:33" ht="16.5" x14ac:dyDescent="0.2">
      <c r="A95" s="66"/>
      <c r="B95" s="66" t="s">
        <v>56</v>
      </c>
      <c r="C95" s="64" t="s">
        <v>63</v>
      </c>
      <c r="D95" s="64"/>
      <c r="E95" s="67" t="s">
        <v>19</v>
      </c>
      <c r="F95" s="67"/>
      <c r="G95" s="27">
        <f>H95+AA95</f>
        <v>10</v>
      </c>
      <c r="H95" s="27">
        <v>10</v>
      </c>
      <c r="I95" s="9">
        <v>10</v>
      </c>
      <c r="J95" s="9">
        <v>10</v>
      </c>
      <c r="K95" s="9">
        <v>10</v>
      </c>
      <c r="L95" s="9">
        <v>10</v>
      </c>
      <c r="M95" s="9">
        <v>10</v>
      </c>
      <c r="N95" s="9">
        <v>10</v>
      </c>
      <c r="O95" s="9">
        <v>10</v>
      </c>
      <c r="P95" s="9">
        <v>10</v>
      </c>
      <c r="Q95" s="9">
        <v>10</v>
      </c>
      <c r="R95" s="9">
        <v>10</v>
      </c>
      <c r="S95" s="9">
        <v>10</v>
      </c>
      <c r="T95" s="9">
        <v>10</v>
      </c>
      <c r="U95" s="9">
        <v>10</v>
      </c>
      <c r="V95" s="9">
        <v>10</v>
      </c>
      <c r="W95" s="9">
        <v>10</v>
      </c>
      <c r="X95" s="9">
        <v>10</v>
      </c>
      <c r="Y95" s="9">
        <v>10</v>
      </c>
      <c r="Z95" s="9">
        <v>10</v>
      </c>
      <c r="AA95" s="3">
        <v>0</v>
      </c>
      <c r="AB95" s="8">
        <v>0</v>
      </c>
      <c r="AG95" s="1"/>
    </row>
    <row r="96" spans="1:33" ht="16.5" x14ac:dyDescent="0.2">
      <c r="A96" s="66"/>
      <c r="B96" s="66"/>
      <c r="C96" s="64" t="s">
        <v>64</v>
      </c>
      <c r="D96" s="64"/>
      <c r="E96" s="67" t="s">
        <v>19</v>
      </c>
      <c r="F96" s="67"/>
      <c r="G96" s="27">
        <f>H96+AA96</f>
        <v>20</v>
      </c>
      <c r="H96" s="27">
        <v>10</v>
      </c>
      <c r="I96" s="9">
        <v>10</v>
      </c>
      <c r="J96" s="9">
        <v>10</v>
      </c>
      <c r="K96" s="9">
        <v>10</v>
      </c>
      <c r="L96" s="9">
        <v>10</v>
      </c>
      <c r="M96" s="9">
        <v>10</v>
      </c>
      <c r="N96" s="9">
        <v>10</v>
      </c>
      <c r="O96" s="9">
        <v>10</v>
      </c>
      <c r="P96" s="9">
        <v>10</v>
      </c>
      <c r="Q96" s="9">
        <v>10</v>
      </c>
      <c r="R96" s="9">
        <v>10</v>
      </c>
      <c r="S96" s="9">
        <v>10</v>
      </c>
      <c r="T96" s="9">
        <v>10</v>
      </c>
      <c r="U96" s="9">
        <v>10</v>
      </c>
      <c r="V96" s="9">
        <v>10</v>
      </c>
      <c r="W96" s="9">
        <v>10</v>
      </c>
      <c r="X96" s="9">
        <v>10</v>
      </c>
      <c r="Y96" s="9">
        <v>10</v>
      </c>
      <c r="Z96" s="9">
        <v>10</v>
      </c>
      <c r="AA96" s="28">
        <v>10</v>
      </c>
      <c r="AB96" s="3">
        <v>0</v>
      </c>
      <c r="AG96" s="1"/>
    </row>
    <row r="97" spans="1:33" ht="16.5" x14ac:dyDescent="0.2">
      <c r="A97" s="66"/>
      <c r="B97" s="58" t="s">
        <v>13</v>
      </c>
      <c r="C97" s="58"/>
      <c r="D97" s="58"/>
      <c r="E97" s="47" t="s">
        <v>11</v>
      </c>
      <c r="F97" s="47"/>
      <c r="G97" s="47">
        <f>SUM(G16:G96)</f>
        <v>212</v>
      </c>
      <c r="H97" s="47"/>
      <c r="I97" s="9">
        <f t="shared" ref="I97:N97" si="9">SUM(I16:I96)</f>
        <v>190</v>
      </c>
      <c r="J97" s="9">
        <f t="shared" si="9"/>
        <v>180</v>
      </c>
      <c r="K97" s="9">
        <f t="shared" si="9"/>
        <v>170</v>
      </c>
      <c r="L97" s="9">
        <f t="shared" si="9"/>
        <v>160</v>
      </c>
      <c r="M97" s="9">
        <f t="shared" si="9"/>
        <v>150</v>
      </c>
      <c r="N97" s="9">
        <f t="shared" si="9"/>
        <v>140</v>
      </c>
      <c r="O97" s="9">
        <f>SUM(O16:O96)+O41</f>
        <v>130</v>
      </c>
      <c r="P97" s="9">
        <f>SUM(P16:P96)+P41</f>
        <v>118</v>
      </c>
      <c r="Q97" s="9">
        <f>SUM(Q16:Q96)</f>
        <v>110</v>
      </c>
      <c r="R97" s="9">
        <f>SUM(R16:R96)</f>
        <v>100</v>
      </c>
      <c r="S97" s="9">
        <f>SUM(S16:S96)</f>
        <v>90</v>
      </c>
      <c r="T97" s="9">
        <f>SUM(T16:T96)+T60</f>
        <v>82</v>
      </c>
      <c r="U97" s="9">
        <f>SUM(U16:U96)+U64+U68</f>
        <v>74</v>
      </c>
      <c r="V97" s="9">
        <f t="shared" ref="V97:Z97" si="10">SUM(V16:V96)</f>
        <v>60</v>
      </c>
      <c r="W97" s="9">
        <f t="shared" si="10"/>
        <v>50</v>
      </c>
      <c r="X97" s="9">
        <f t="shared" si="10"/>
        <v>40</v>
      </c>
      <c r="Y97" s="9">
        <f t="shared" si="10"/>
        <v>30</v>
      </c>
      <c r="Z97" s="9">
        <f t="shared" si="10"/>
        <v>20</v>
      </c>
      <c r="AA97" s="9">
        <f>SUM(AA16:AA96)</f>
        <v>10</v>
      </c>
      <c r="AB97" s="9">
        <f>SUM(AB16:AB96)</f>
        <v>0</v>
      </c>
      <c r="AG97" s="1"/>
    </row>
    <row r="98" spans="1:33" ht="16.5" x14ac:dyDescent="0.2">
      <c r="A98" s="66"/>
      <c r="B98" s="58"/>
      <c r="C98" s="58"/>
      <c r="D98" s="58"/>
      <c r="E98" s="47" t="s">
        <v>12</v>
      </c>
      <c r="F98" s="47"/>
      <c r="G98" s="47">
        <f>SUM(H16:H96)</f>
        <v>200</v>
      </c>
      <c r="H98" s="47"/>
      <c r="I98" s="9">
        <f t="shared" ref="I98:Z98" si="11">SUM(I16:I96)</f>
        <v>190</v>
      </c>
      <c r="J98" s="9">
        <f t="shared" si="11"/>
        <v>180</v>
      </c>
      <c r="K98" s="9">
        <f t="shared" si="11"/>
        <v>170</v>
      </c>
      <c r="L98" s="9">
        <f t="shared" si="11"/>
        <v>160</v>
      </c>
      <c r="M98" s="9">
        <f t="shared" si="11"/>
        <v>150</v>
      </c>
      <c r="N98" s="9">
        <f t="shared" si="11"/>
        <v>140</v>
      </c>
      <c r="O98" s="9">
        <f t="shared" si="11"/>
        <v>130</v>
      </c>
      <c r="P98" s="9">
        <f t="shared" si="11"/>
        <v>119</v>
      </c>
      <c r="Q98" s="9">
        <f t="shared" si="11"/>
        <v>110</v>
      </c>
      <c r="R98" s="9">
        <f t="shared" si="11"/>
        <v>100</v>
      </c>
      <c r="S98" s="9">
        <f t="shared" si="11"/>
        <v>90</v>
      </c>
      <c r="T98" s="9">
        <f t="shared" si="11"/>
        <v>81</v>
      </c>
      <c r="U98" s="9">
        <f t="shared" si="11"/>
        <v>72</v>
      </c>
      <c r="V98" s="9">
        <f t="shared" si="11"/>
        <v>60</v>
      </c>
      <c r="W98" s="9">
        <f t="shared" si="11"/>
        <v>50</v>
      </c>
      <c r="X98" s="9">
        <f t="shared" si="11"/>
        <v>40</v>
      </c>
      <c r="Y98" s="9">
        <f t="shared" si="11"/>
        <v>30</v>
      </c>
      <c r="Z98" s="9">
        <f t="shared" si="11"/>
        <v>20</v>
      </c>
      <c r="AA98" s="9">
        <f>SUM(AA16:AA96)</f>
        <v>10</v>
      </c>
      <c r="AB98" s="9">
        <f>SUM(AB16:AB96)</f>
        <v>0</v>
      </c>
      <c r="AG98" s="1"/>
    </row>
    <row r="99" spans="1:33" ht="16.5" x14ac:dyDescent="0.2">
      <c r="A99" s="1"/>
      <c r="B99" s="1"/>
      <c r="C99" s="10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AG99" s="1"/>
    </row>
    <row r="100" spans="1:33" ht="16.5" x14ac:dyDescent="0.2">
      <c r="A100" s="1"/>
      <c r="B100" s="1"/>
      <c r="C100" s="10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spans="1:33" ht="16.5" x14ac:dyDescent="0.2">
      <c r="A101" s="1"/>
      <c r="B101" s="1"/>
      <c r="C101" s="10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spans="1:33" ht="16.5" x14ac:dyDescent="0.2">
      <c r="A102" s="1"/>
      <c r="B102" s="1"/>
      <c r="C102" s="10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spans="1:33" ht="16.5" x14ac:dyDescent="0.2">
      <c r="A103" s="1"/>
      <c r="B103" s="1"/>
      <c r="C103" s="10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spans="1:33" ht="16.5" x14ac:dyDescent="0.2">
      <c r="A104" s="1"/>
      <c r="B104" s="1"/>
      <c r="C104" s="10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spans="1:33" ht="16.5" x14ac:dyDescent="0.2">
      <c r="A105" s="1"/>
      <c r="B105" s="1"/>
      <c r="C105" s="10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spans="1:33" ht="16.5" x14ac:dyDescent="0.2">
      <c r="A106" s="1"/>
      <c r="B106" s="1"/>
      <c r="C106" s="10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spans="1:33" ht="16.5" x14ac:dyDescent="0.2">
      <c r="A107" s="1"/>
      <c r="B107" s="1"/>
      <c r="C107" s="10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 spans="1:33" ht="16.5" x14ac:dyDescent="0.2">
      <c r="A108" s="1"/>
      <c r="B108" s="1"/>
      <c r="C108" s="10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 spans="1:33" ht="16.5" x14ac:dyDescent="0.2">
      <c r="A109" s="1"/>
      <c r="B109" s="1"/>
      <c r="C109" s="10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spans="1:33" ht="16.5" x14ac:dyDescent="0.2">
      <c r="A110" s="1"/>
      <c r="B110" s="1"/>
      <c r="C110" s="10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 spans="1:33" ht="16.5" x14ac:dyDescent="0.2">
      <c r="A111" s="1"/>
      <c r="B111" s="1"/>
      <c r="C111" s="10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 spans="1:33" ht="16.5" x14ac:dyDescent="0.2">
      <c r="A112" s="1"/>
      <c r="B112" s="1"/>
      <c r="C112" s="10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 spans="1:33" ht="16.5" x14ac:dyDescent="0.2">
      <c r="A113" s="1"/>
      <c r="B113" s="1"/>
      <c r="C113" s="10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 spans="1:33" ht="16.5" x14ac:dyDescent="0.2">
      <c r="A114" s="1"/>
      <c r="B114" s="1"/>
      <c r="C114" s="10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 spans="1:33" ht="16.5" x14ac:dyDescent="0.2">
      <c r="A115" s="1"/>
      <c r="B115" s="1"/>
      <c r="C115" s="10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 spans="1:33" ht="16.5" x14ac:dyDescent="0.2">
      <c r="A116" s="1"/>
      <c r="B116" s="1"/>
      <c r="C116" s="10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 spans="1:33" ht="16.5" x14ac:dyDescent="0.2">
      <c r="A117" s="1"/>
      <c r="B117" s="1"/>
      <c r="C117" s="10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 spans="1:33" ht="16.5" x14ac:dyDescent="0.2">
      <c r="A118" s="1"/>
      <c r="B118" s="1"/>
      <c r="C118" s="10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 spans="1:33" ht="16.5" x14ac:dyDescent="0.2">
      <c r="A119" s="1"/>
      <c r="B119" s="1"/>
      <c r="C119" s="10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 spans="1:33" ht="16.5" x14ac:dyDescent="0.2">
      <c r="A120" s="1"/>
      <c r="B120" s="1"/>
      <c r="C120" s="10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 spans="1:33" ht="16.5" x14ac:dyDescent="0.2">
      <c r="A121" s="1"/>
      <c r="B121" s="1"/>
      <c r="C121" s="10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spans="1:33" ht="16.5" x14ac:dyDescent="0.2">
      <c r="A122" s="1"/>
      <c r="B122" s="1"/>
      <c r="C122" s="10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spans="1:33" ht="16.5" x14ac:dyDescent="0.2">
      <c r="A123" s="1"/>
      <c r="B123" s="1"/>
      <c r="C123" s="10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spans="1:33" ht="16.5" x14ac:dyDescent="0.2">
      <c r="A124" s="1"/>
      <c r="B124" s="1"/>
      <c r="C124" s="10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 spans="1:33" ht="16.5" x14ac:dyDescent="0.2">
      <c r="A125" s="1"/>
      <c r="B125" s="1"/>
      <c r="C125" s="10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 spans="1:33" ht="16.5" x14ac:dyDescent="0.2">
      <c r="A126" s="1"/>
      <c r="B126" s="1"/>
      <c r="C126" s="10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spans="1:33" ht="16.5" x14ac:dyDescent="0.2">
      <c r="A127" s="1"/>
      <c r="B127" s="1"/>
      <c r="C127" s="10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spans="1:33" ht="16.5" x14ac:dyDescent="0.2">
      <c r="A128" s="1"/>
      <c r="B128" s="1"/>
      <c r="C128" s="10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spans="1:33" ht="16.5" x14ac:dyDescent="0.2">
      <c r="A129" s="1"/>
      <c r="B129" s="1"/>
      <c r="C129" s="10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spans="1:33" ht="16.5" x14ac:dyDescent="0.2">
      <c r="A130" s="1"/>
      <c r="B130" s="1"/>
      <c r="C130" s="10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spans="1:33" ht="16.5" x14ac:dyDescent="0.2">
      <c r="A131" s="1"/>
      <c r="B131" s="1"/>
      <c r="C131" s="10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spans="1:33" ht="16.5" x14ac:dyDescent="0.2">
      <c r="A132" s="1"/>
      <c r="B132" s="1"/>
      <c r="C132" s="10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spans="1:33" ht="16.5" x14ac:dyDescent="0.2">
      <c r="A133" s="1"/>
      <c r="B133" s="1"/>
      <c r="C133" s="10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</sheetData>
  <mergeCells count="190">
    <mergeCell ref="K3:M3"/>
    <mergeCell ref="A4:B4"/>
    <mergeCell ref="C4:G4"/>
    <mergeCell ref="K4:M4"/>
    <mergeCell ref="K5:M5"/>
    <mergeCell ref="B6:E6"/>
    <mergeCell ref="A1:B1"/>
    <mergeCell ref="C1:G1"/>
    <mergeCell ref="A2:B2"/>
    <mergeCell ref="C2:G2"/>
    <mergeCell ref="A3:B3"/>
    <mergeCell ref="C3:G3"/>
    <mergeCell ref="B13:C13"/>
    <mergeCell ref="C15:D15"/>
    <mergeCell ref="E15:F15"/>
    <mergeCell ref="A16:A98"/>
    <mergeCell ref="B16:D16"/>
    <mergeCell ref="E16:F16"/>
    <mergeCell ref="B17:D17"/>
    <mergeCell ref="E17:F17"/>
    <mergeCell ref="B18:D18"/>
    <mergeCell ref="E18:F18"/>
    <mergeCell ref="C33:D33"/>
    <mergeCell ref="C34:D34"/>
    <mergeCell ref="C37:D37"/>
    <mergeCell ref="C22:D22"/>
    <mergeCell ref="E22:F22"/>
    <mergeCell ref="C25:D25"/>
    <mergeCell ref="E25:F25"/>
    <mergeCell ref="C26:D26"/>
    <mergeCell ref="E26:F26"/>
    <mergeCell ref="C27:D27"/>
    <mergeCell ref="E27:F27"/>
    <mergeCell ref="E20:F20"/>
    <mergeCell ref="C68:D68"/>
    <mergeCell ref="E68:F68"/>
    <mergeCell ref="C29:D29"/>
    <mergeCell ref="E29:F29"/>
    <mergeCell ref="B30:B41"/>
    <mergeCell ref="C30:D30"/>
    <mergeCell ref="B19:B29"/>
    <mergeCell ref="C19:D19"/>
    <mergeCell ref="E19:F19"/>
    <mergeCell ref="E34:F34"/>
    <mergeCell ref="C35:D35"/>
    <mergeCell ref="E35:F35"/>
    <mergeCell ref="C36:D36"/>
    <mergeCell ref="E36:F36"/>
    <mergeCell ref="E37:F37"/>
    <mergeCell ref="E30:F30"/>
    <mergeCell ref="C21:D21"/>
    <mergeCell ref="E21:F21"/>
    <mergeCell ref="C23:D23"/>
    <mergeCell ref="E23:F23"/>
    <mergeCell ref="C24:D24"/>
    <mergeCell ref="E24:F24"/>
    <mergeCell ref="C20:D20"/>
    <mergeCell ref="C28:D28"/>
    <mergeCell ref="E28:F28"/>
    <mergeCell ref="C31:D31"/>
    <mergeCell ref="B42:B64"/>
    <mergeCell ref="C38:D38"/>
    <mergeCell ref="E38:F38"/>
    <mergeCell ref="C39:D39"/>
    <mergeCell ref="E39:F39"/>
    <mergeCell ref="C40:D40"/>
    <mergeCell ref="E40:F40"/>
    <mergeCell ref="C57:D57"/>
    <mergeCell ref="E57:F57"/>
    <mergeCell ref="C55:D55"/>
    <mergeCell ref="E55:F55"/>
    <mergeCell ref="C59:D59"/>
    <mergeCell ref="E59:F59"/>
    <mergeCell ref="C61:D61"/>
    <mergeCell ref="E61:F61"/>
    <mergeCell ref="C64:D64"/>
    <mergeCell ref="E64:F64"/>
    <mergeCell ref="C58:D58"/>
    <mergeCell ref="E58:F58"/>
    <mergeCell ref="C60:D60"/>
    <mergeCell ref="E60:F60"/>
    <mergeCell ref="E31:F31"/>
    <mergeCell ref="C32:D32"/>
    <mergeCell ref="E32:F32"/>
    <mergeCell ref="E33:F33"/>
    <mergeCell ref="C56:D56"/>
    <mergeCell ref="E56:F56"/>
    <mergeCell ref="E54:F54"/>
    <mergeCell ref="C41:D41"/>
    <mergeCell ref="E41:F41"/>
    <mergeCell ref="C54:D54"/>
    <mergeCell ref="C52:D52"/>
    <mergeCell ref="E52:F52"/>
    <mergeCell ref="C53:D53"/>
    <mergeCell ref="E53:F53"/>
    <mergeCell ref="E50:F50"/>
    <mergeCell ref="E51:F51"/>
    <mergeCell ref="E49:F49"/>
    <mergeCell ref="B75:B84"/>
    <mergeCell ref="B65:B74"/>
    <mergeCell ref="C80:D80"/>
    <mergeCell ref="E80:F80"/>
    <mergeCell ref="C81:D81"/>
    <mergeCell ref="E81:F81"/>
    <mergeCell ref="C82:D82"/>
    <mergeCell ref="E82:F82"/>
    <mergeCell ref="E71:F71"/>
    <mergeCell ref="C72:D72"/>
    <mergeCell ref="E72:F72"/>
    <mergeCell ref="C73:D73"/>
    <mergeCell ref="E73:F73"/>
    <mergeCell ref="C74:D74"/>
    <mergeCell ref="E74:F74"/>
    <mergeCell ref="E77:F77"/>
    <mergeCell ref="E78:F78"/>
    <mergeCell ref="E79:F79"/>
    <mergeCell ref="C71:D71"/>
    <mergeCell ref="C65:D65"/>
    <mergeCell ref="C66:D66"/>
    <mergeCell ref="C67:D67"/>
    <mergeCell ref="C69:D69"/>
    <mergeCell ref="C70:D70"/>
    <mergeCell ref="C90:D90"/>
    <mergeCell ref="E90:F90"/>
    <mergeCell ref="C91:D91"/>
    <mergeCell ref="E91:F91"/>
    <mergeCell ref="C92:D92"/>
    <mergeCell ref="E92:F92"/>
    <mergeCell ref="C83:D83"/>
    <mergeCell ref="E83:F83"/>
    <mergeCell ref="C84:D84"/>
    <mergeCell ref="E84:F84"/>
    <mergeCell ref="E89:F89"/>
    <mergeCell ref="B97:D98"/>
    <mergeCell ref="E97:F97"/>
    <mergeCell ref="G97:H97"/>
    <mergeCell ref="E98:F98"/>
    <mergeCell ref="G98:H98"/>
    <mergeCell ref="C93:D93"/>
    <mergeCell ref="E93:F93"/>
    <mergeCell ref="C94:D94"/>
    <mergeCell ref="E94:F94"/>
    <mergeCell ref="B95:B96"/>
    <mergeCell ref="C95:D95"/>
    <mergeCell ref="E95:F95"/>
    <mergeCell ref="C96:D96"/>
    <mergeCell ref="E96:F96"/>
    <mergeCell ref="B85:B94"/>
    <mergeCell ref="C85:D85"/>
    <mergeCell ref="C86:D86"/>
    <mergeCell ref="C87:D87"/>
    <mergeCell ref="C88:D88"/>
    <mergeCell ref="C89:D89"/>
    <mergeCell ref="E85:F85"/>
    <mergeCell ref="E86:F86"/>
    <mergeCell ref="E87:F87"/>
    <mergeCell ref="E88:F88"/>
    <mergeCell ref="E67:F67"/>
    <mergeCell ref="E69:F69"/>
    <mergeCell ref="E70:F70"/>
    <mergeCell ref="C75:D75"/>
    <mergeCell ref="C76:D76"/>
    <mergeCell ref="C77:D77"/>
    <mergeCell ref="C78:D78"/>
    <mergeCell ref="E75:F75"/>
    <mergeCell ref="E76:F76"/>
    <mergeCell ref="C79:D79"/>
    <mergeCell ref="E42:F42"/>
    <mergeCell ref="E43:F43"/>
    <mergeCell ref="E44:F44"/>
    <mergeCell ref="E45:F45"/>
    <mergeCell ref="E46:F46"/>
    <mergeCell ref="E47:F47"/>
    <mergeCell ref="E48:F48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62:D62"/>
    <mergeCell ref="E62:F62"/>
    <mergeCell ref="C63:D63"/>
    <mergeCell ref="E63:F63"/>
    <mergeCell ref="E65:F65"/>
    <mergeCell ref="E66:F66"/>
  </mergeCells>
  <pageMargins left="0.70866141732283472" right="0.51181102362204722" top="0.64" bottom="0.17" header="0.31496062992125984" footer="0.17"/>
  <pageSetup paperSize="8" scale="7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3"/>
  <sheetViews>
    <sheetView workbookViewId="0">
      <selection activeCell="E4" sqref="E4"/>
    </sheetView>
  </sheetViews>
  <sheetFormatPr defaultRowHeight="14.25" x14ac:dyDescent="0.2"/>
  <cols>
    <col min="2" max="2" width="10.125" customWidth="1"/>
    <col min="3" max="3" width="12" customWidth="1"/>
    <col min="4" max="4" width="11.25" customWidth="1"/>
    <col min="5" max="7" width="11.625" customWidth="1"/>
    <col min="8" max="8" width="10.25" customWidth="1"/>
    <col min="9" max="9" width="11.75" customWidth="1"/>
    <col min="10" max="11" width="10" customWidth="1"/>
  </cols>
  <sheetData>
    <row r="1" spans="1:11" ht="15" thickBot="1" x14ac:dyDescent="0.25"/>
    <row r="2" spans="1:11" ht="16.5" x14ac:dyDescent="0.2">
      <c r="A2" s="78" t="s">
        <v>150</v>
      </c>
      <c r="B2" s="79"/>
      <c r="C2" s="79"/>
      <c r="D2" s="79"/>
      <c r="E2" s="79"/>
      <c r="F2" s="79"/>
      <c r="G2" s="79"/>
      <c r="H2" s="79"/>
      <c r="I2" s="79"/>
      <c r="J2" s="79"/>
      <c r="K2" s="80"/>
    </row>
    <row r="3" spans="1:11" ht="16.5" x14ac:dyDescent="0.2">
      <c r="A3" s="81"/>
      <c r="B3" s="82" t="s">
        <v>145</v>
      </c>
      <c r="C3" s="82"/>
      <c r="D3" s="82" t="s">
        <v>146</v>
      </c>
      <c r="E3" s="82"/>
      <c r="F3" s="82" t="s">
        <v>147</v>
      </c>
      <c r="G3" s="82"/>
      <c r="H3" s="82" t="s">
        <v>148</v>
      </c>
      <c r="I3" s="82"/>
      <c r="J3" s="82" t="s">
        <v>149</v>
      </c>
      <c r="K3" s="83"/>
    </row>
    <row r="4" spans="1:11" ht="16.5" x14ac:dyDescent="0.2">
      <c r="A4" s="81"/>
      <c r="B4" s="13" t="s">
        <v>11</v>
      </c>
      <c r="C4" s="13" t="s">
        <v>12</v>
      </c>
      <c r="D4" s="13" t="s">
        <v>11</v>
      </c>
      <c r="E4" s="13" t="s">
        <v>12</v>
      </c>
      <c r="F4" s="13" t="s">
        <v>11</v>
      </c>
      <c r="G4" s="13" t="s">
        <v>12</v>
      </c>
      <c r="H4" s="13" t="s">
        <v>11</v>
      </c>
      <c r="I4" s="13" t="s">
        <v>12</v>
      </c>
      <c r="J4" s="13" t="s">
        <v>11</v>
      </c>
      <c r="K4" s="14" t="s">
        <v>12</v>
      </c>
    </row>
    <row r="5" spans="1:11" ht="16.5" x14ac:dyDescent="0.2">
      <c r="A5" s="15" t="s">
        <v>3</v>
      </c>
      <c r="B5" s="9">
        <f ca="1">Sprint1!D8</f>
        <v>25.8</v>
      </c>
      <c r="C5" s="9">
        <f ca="1">Sprint1!E8</f>
        <v>26</v>
      </c>
      <c r="D5" s="9">
        <f ca="1">Sprint1!D9</f>
        <v>25.8</v>
      </c>
      <c r="E5" s="9">
        <f ca="1">Sprint1!E9</f>
        <v>26</v>
      </c>
      <c r="F5" s="9">
        <f ca="1">Sprint1!D10</f>
        <v>28.8</v>
      </c>
      <c r="G5" s="9">
        <f ca="1">Sprint1!E10</f>
        <v>28</v>
      </c>
      <c r="H5" s="9">
        <f ca="1">Sprint1!D11</f>
        <v>29.8</v>
      </c>
      <c r="I5" s="9">
        <f ca="1">Sprint1!E11</f>
        <v>28</v>
      </c>
      <c r="J5" s="9">
        <f ca="1">Sprint1!D12</f>
        <v>26.8</v>
      </c>
      <c r="K5" s="9">
        <f ca="1">Sprint1!E12</f>
        <v>26</v>
      </c>
    </row>
    <row r="6" spans="1:11" ht="16.5" x14ac:dyDescent="0.2">
      <c r="A6" s="15" t="s">
        <v>50</v>
      </c>
      <c r="B6" s="9">
        <f ca="1">Sprint2!D8</f>
        <v>39.799999999999997</v>
      </c>
      <c r="C6" s="9">
        <f ca="1">Sprint2!E8</f>
        <v>40</v>
      </c>
      <c r="D6" s="9">
        <f ca="1">Sprint2!D9</f>
        <v>42.8</v>
      </c>
      <c r="E6" s="9">
        <f ca="1">Sprint2!E9</f>
        <v>40</v>
      </c>
      <c r="F6" s="9">
        <f ca="1">Sprint2!D10</f>
        <v>38.799999999999997</v>
      </c>
      <c r="G6" s="9">
        <f ca="1">Sprint2!E10</f>
        <v>40</v>
      </c>
      <c r="H6" s="9">
        <f ca="1">Sprint2!D11</f>
        <v>39.799999999999997</v>
      </c>
      <c r="I6" s="9">
        <f ca="1">Sprint2!E11</f>
        <v>40</v>
      </c>
      <c r="J6" s="9">
        <f ca="1">Sprint2!D12</f>
        <v>41.8</v>
      </c>
      <c r="K6" s="9">
        <f ca="1">Sprint2!E12</f>
        <v>40</v>
      </c>
    </row>
    <row r="7" spans="1:11" ht="16.5" x14ac:dyDescent="0.2">
      <c r="A7" s="15" t="s">
        <v>51</v>
      </c>
      <c r="B7" s="9">
        <f ca="1">Sprint3!D8</f>
        <v>42.8</v>
      </c>
      <c r="C7" s="9">
        <f ca="1">Sprint3!E8</f>
        <v>40</v>
      </c>
      <c r="D7" s="9">
        <f ca="1">Sprint3!D9</f>
        <v>41.8</v>
      </c>
      <c r="E7" s="9">
        <f ca="1">Sprint3!E9</f>
        <v>40</v>
      </c>
      <c r="F7" s="9">
        <f ca="1">Sprint3!D10</f>
        <v>42.8</v>
      </c>
      <c r="G7" s="9">
        <f ca="1">Sprint3!E10</f>
        <v>40</v>
      </c>
      <c r="H7" s="9">
        <f ca="1">Sprint3!D11</f>
        <v>42.8</v>
      </c>
      <c r="I7" s="9">
        <f ca="1">Sprint3!E11</f>
        <v>40</v>
      </c>
      <c r="J7" s="9">
        <f ca="1">Sprint3!D12</f>
        <v>41.8</v>
      </c>
      <c r="K7" s="9">
        <f ca="1">Sprint3!E12</f>
        <v>40</v>
      </c>
    </row>
    <row r="8" spans="1:11" ht="17.25" thickBot="1" x14ac:dyDescent="0.25">
      <c r="A8" s="16" t="s">
        <v>13</v>
      </c>
      <c r="B8" s="17">
        <f ca="1">SUM(B5:B7)</f>
        <v>108.39999999999999</v>
      </c>
      <c r="C8" s="17">
        <f t="shared" ref="C8:K8" ca="1" si="0">SUM(C5:C7)</f>
        <v>106</v>
      </c>
      <c r="D8" s="17">
        <f t="shared" ca="1" si="0"/>
        <v>110.39999999999999</v>
      </c>
      <c r="E8" s="17">
        <f t="shared" ca="1" si="0"/>
        <v>106</v>
      </c>
      <c r="F8" s="17">
        <f t="shared" ca="1" si="0"/>
        <v>110.39999999999999</v>
      </c>
      <c r="G8" s="17">
        <f t="shared" ca="1" si="0"/>
        <v>108</v>
      </c>
      <c r="H8" s="17">
        <f t="shared" ca="1" si="0"/>
        <v>112.39999999999999</v>
      </c>
      <c r="I8" s="17">
        <f t="shared" ca="1" si="0"/>
        <v>108</v>
      </c>
      <c r="J8" s="17">
        <f t="shared" ca="1" si="0"/>
        <v>110.39999999999999</v>
      </c>
      <c r="K8" s="17">
        <f t="shared" ca="1" si="0"/>
        <v>106</v>
      </c>
    </row>
    <row r="10" spans="1:11" ht="15" thickBot="1" x14ac:dyDescent="0.25"/>
    <row r="11" spans="1:11" ht="16.5" x14ac:dyDescent="0.25">
      <c r="E11" s="76" t="s">
        <v>151</v>
      </c>
      <c r="F11" s="77"/>
    </row>
    <row r="12" spans="1:11" ht="16.5" x14ac:dyDescent="0.25">
      <c r="E12" s="18" t="s">
        <v>11</v>
      </c>
      <c r="F12" s="19">
        <f ca="1">SUMIF(B4:K4,"Thực Tế",B8:K8)</f>
        <v>552</v>
      </c>
    </row>
    <row r="13" spans="1:11" ht="17.25" thickBot="1" x14ac:dyDescent="0.3">
      <c r="E13" s="20" t="s">
        <v>12</v>
      </c>
      <c r="F13" s="21">
        <f ca="1">SUMIF(B4:K4,"Ước tính",B8:K8)</f>
        <v>534</v>
      </c>
    </row>
  </sheetData>
  <mergeCells count="8">
    <mergeCell ref="E11:F11"/>
    <mergeCell ref="A2:K2"/>
    <mergeCell ref="A3:A4"/>
    <mergeCell ref="B3:C3"/>
    <mergeCell ref="D3:E3"/>
    <mergeCell ref="F3:G3"/>
    <mergeCell ref="H3:I3"/>
    <mergeCell ref="J3:K3"/>
  </mergeCells>
  <pageMargins left="0.7" right="0.7" top="1.26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Sprint1</vt:lpstr>
      <vt:lpstr>Sprint2</vt:lpstr>
      <vt:lpstr>Sprint3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Anhduong Nguyen ngoc</cp:lastModifiedBy>
  <cp:lastPrinted>2026-05-11T14:53:41Z</cp:lastPrinted>
  <dcterms:created xsi:type="dcterms:W3CDTF">2026-03-22T08:13:20Z</dcterms:created>
  <dcterms:modified xsi:type="dcterms:W3CDTF">2026-05-11T14:53:50Z</dcterms:modified>
</cp:coreProperties>
</file>