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s\KLTN\"/>
    </mc:Choice>
  </mc:AlternateContent>
  <bookViews>
    <workbookView xWindow="0" yWindow="0" windowWidth="17256" windowHeight="5556"/>
  </bookViews>
  <sheets>
    <sheet name="Sprint1" sheetId="4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1" i="4" l="1"/>
  <c r="M92" i="4"/>
  <c r="E8" i="4" l="1"/>
  <c r="E9" i="4"/>
  <c r="D8" i="4"/>
  <c r="D9" i="4"/>
  <c r="D10" i="4"/>
  <c r="S91" i="4"/>
  <c r="X92" i="4"/>
  <c r="Y92" i="4"/>
  <c r="Z92" i="4"/>
  <c r="U92" i="4"/>
  <c r="T91" i="4"/>
  <c r="P91" i="4"/>
  <c r="P92" i="4"/>
  <c r="G90" i="4"/>
  <c r="G89" i="4"/>
  <c r="G81" i="4"/>
  <c r="G82" i="4"/>
  <c r="G83" i="4"/>
  <c r="G84" i="4"/>
  <c r="G85" i="4"/>
  <c r="G86" i="4"/>
  <c r="G87" i="4"/>
  <c r="G88" i="4"/>
  <c r="G80" i="4"/>
  <c r="G77" i="4"/>
  <c r="G78" i="4"/>
  <c r="G79" i="4"/>
  <c r="G76" i="4"/>
  <c r="G72" i="4"/>
  <c r="G73" i="4"/>
  <c r="G74" i="4"/>
  <c r="G75" i="4"/>
  <c r="G71" i="4"/>
  <c r="G70" i="4"/>
  <c r="G68" i="4"/>
  <c r="G69" i="4"/>
  <c r="G67" i="4"/>
  <c r="G63" i="4"/>
  <c r="G64" i="4"/>
  <c r="G65" i="4"/>
  <c r="G66" i="4"/>
  <c r="G62" i="4"/>
  <c r="G59" i="4"/>
  <c r="G53" i="4"/>
  <c r="G54" i="4"/>
  <c r="G55" i="4"/>
  <c r="G56" i="4"/>
  <c r="G52" i="4"/>
  <c r="G57" i="4"/>
  <c r="G48" i="4"/>
  <c r="G49" i="4"/>
  <c r="G50" i="4"/>
  <c r="G51" i="4"/>
  <c r="G47" i="4"/>
  <c r="G42" i="4"/>
  <c r="G43" i="4"/>
  <c r="G44" i="4"/>
  <c r="G45" i="4"/>
  <c r="G46" i="4"/>
  <c r="G41" i="4"/>
  <c r="G36" i="4"/>
  <c r="G37" i="4"/>
  <c r="G38" i="4"/>
  <c r="G35" i="4"/>
  <c r="G31" i="4"/>
  <c r="G32" i="4"/>
  <c r="G33" i="4"/>
  <c r="G34" i="4"/>
  <c r="G30" i="4"/>
  <c r="G25" i="4"/>
  <c r="G26" i="4"/>
  <c r="G27" i="4"/>
  <c r="G24" i="4"/>
  <c r="G20" i="4"/>
  <c r="G21" i="4"/>
  <c r="G22" i="4"/>
  <c r="G23" i="4"/>
  <c r="G19" i="4"/>
  <c r="G28" i="4"/>
  <c r="G39" i="4"/>
  <c r="G60" i="4"/>
  <c r="Z91" i="4" l="1"/>
  <c r="G18" i="4" l="1"/>
  <c r="G17" i="4" l="1"/>
  <c r="G16" i="4"/>
  <c r="J91" i="4" l="1"/>
  <c r="K91" i="4"/>
  <c r="L91" i="4"/>
  <c r="N91" i="4"/>
  <c r="O91" i="4"/>
  <c r="Q91" i="4"/>
  <c r="R91" i="4"/>
  <c r="U91" i="4"/>
  <c r="V91" i="4"/>
  <c r="W91" i="4"/>
  <c r="X91" i="4"/>
  <c r="Y91" i="4"/>
  <c r="J92" i="4"/>
  <c r="K92" i="4"/>
  <c r="L92" i="4"/>
  <c r="N92" i="4"/>
  <c r="O92" i="4"/>
  <c r="Q92" i="4"/>
  <c r="R92" i="4"/>
  <c r="S92" i="4"/>
  <c r="T92" i="4"/>
  <c r="V92" i="4"/>
  <c r="W92" i="4"/>
  <c r="E12" i="4" l="1"/>
  <c r="E11" i="4"/>
  <c r="E10" i="4"/>
  <c r="D12" i="4"/>
  <c r="D11" i="4"/>
  <c r="I92" i="4" l="1"/>
  <c r="I91" i="4"/>
  <c r="G92" i="4" l="1"/>
  <c r="G91" i="4"/>
  <c r="D13" i="4" l="1"/>
  <c r="E13" i="4"/>
</calcChain>
</file>

<file path=xl/sharedStrings.xml><?xml version="1.0" encoding="utf-8"?>
<sst xmlns="http://schemas.openxmlformats.org/spreadsheetml/2006/main" count="179" uniqueCount="111">
  <si>
    <t>Project name:</t>
  </si>
  <si>
    <t>Kết thúc đúng hạn</t>
  </si>
  <si>
    <t>Module name:</t>
  </si>
  <si>
    <t>Sprint 1</t>
  </si>
  <si>
    <t>Muộn</t>
  </si>
  <si>
    <t>Start date:</t>
  </si>
  <si>
    <t>Trước thời hạn</t>
  </si>
  <si>
    <t>End date:</t>
  </si>
  <si>
    <t>SPRINT 1 REPORT</t>
  </si>
  <si>
    <t>No</t>
  </si>
  <si>
    <t>Thành viên</t>
  </si>
  <si>
    <t>Thực tế</t>
  </si>
  <si>
    <t>Ước tính</t>
  </si>
  <si>
    <t>Tổng</t>
  </si>
  <si>
    <t>Sprint</t>
  </si>
  <si>
    <t>Compoment</t>
  </si>
  <si>
    <t>Task name</t>
  </si>
  <si>
    <t>Responsible Member</t>
  </si>
  <si>
    <t>Họp kế hoạch Sprint</t>
  </si>
  <si>
    <t>All team</t>
  </si>
  <si>
    <t>Tạo Sprint Backlog 1</t>
  </si>
  <si>
    <t>Tạo tài liệu kiểm thử cho Sprint</t>
  </si>
  <si>
    <t>User interface design</t>
  </si>
  <si>
    <t>Review all user interfaces of sprint 1</t>
  </si>
  <si>
    <t>Design test case</t>
  </si>
  <si>
    <t>Thiết kế trường kiểm thử cho đăng nhập</t>
  </si>
  <si>
    <t>Review all test case of sprint 1</t>
  </si>
  <si>
    <t>Coding</t>
  </si>
  <si>
    <t xml:space="preserve">Integrate code </t>
  </si>
  <si>
    <t>Testing</t>
  </si>
  <si>
    <t>Fix Bug</t>
  </si>
  <si>
    <t>Sửa lỗi đăng nhập</t>
  </si>
  <si>
    <t>Re-testing</t>
  </si>
  <si>
    <t>Release Sprint 1</t>
  </si>
  <si>
    <t>Sprint 1 review meeting</t>
  </si>
  <si>
    <t>Sprint 1 retrospective</t>
  </si>
  <si>
    <t>Xây dựng hệ thống DishNet - Nền tảng mạng xã hội kinh doanh ẩm thực</t>
  </si>
  <si>
    <t>Lê Văn Cường</t>
  </si>
  <si>
    <t>Phạm Đình Vân Ly</t>
  </si>
  <si>
    <t>Phan Thị Lệ Thi</t>
  </si>
  <si>
    <t>Trần Thị Mai Yên</t>
  </si>
  <si>
    <t>Huỳnh Thị Vy</t>
  </si>
  <si>
    <t>Đăng nhập</t>
  </si>
  <si>
    <t>Đăng ký</t>
  </si>
  <si>
    <t>Quên mật khẩu</t>
  </si>
  <si>
    <t>Thiết kế trường kiểm thử cho đăng ký</t>
  </si>
  <si>
    <t>Thiết kế trường kiểm thử cho quên mật khẩu</t>
  </si>
  <si>
    <t>Thiết kế front-end đăng nhập</t>
  </si>
  <si>
    <t>Code back-end đăng nhập</t>
  </si>
  <si>
    <t>Thiết kế front-end đăng ký</t>
  </si>
  <si>
    <t>Code back-end đăng ký</t>
  </si>
  <si>
    <t>Thiết kế front-end quên mật khẩu</t>
  </si>
  <si>
    <t>Code back-end quên mật khẩu</t>
  </si>
  <si>
    <t>Kiểm tra đăng nhập</t>
  </si>
  <si>
    <t>Kiểm tra đăng ký</t>
  </si>
  <si>
    <t>Kiểm tra quên mật khẩu</t>
  </si>
  <si>
    <t>Sửa lỗi đăng ký</t>
  </si>
  <si>
    <t>Sửa lỗi quên mật khẩu</t>
  </si>
  <si>
    <t>Kiểm tra lại đăng nhập</t>
  </si>
  <si>
    <t>Kiểm tra lại đăng ký</t>
  </si>
  <si>
    <t>Kiểm tra lại quên mật khẩu</t>
  </si>
  <si>
    <t>Thống kê hệ thống</t>
  </si>
  <si>
    <t>Quản lý đơn hàng hệ thống</t>
  </si>
  <si>
    <t>Kiểm duyệt yêu cầu hệ thống</t>
  </si>
  <si>
    <t>Quản lý tài khoản</t>
  </si>
  <si>
    <t>Quản lý doanh thu hệ thống</t>
  </si>
  <si>
    <t>Quản lý khuyến mãi hệ thống</t>
  </si>
  <si>
    <t>Thiết kế front-end thống kê hệ thống</t>
  </si>
  <si>
    <t>Code back-end thống kê hệ thống</t>
  </si>
  <si>
    <t>Thiết kế front-end quản lý đơn hàng hệ thống</t>
  </si>
  <si>
    <t>Code back-end quản lý đơn hàng hệ thống</t>
  </si>
  <si>
    <t>Thiết kế front-end kiểm duyệt yêu cầu hệ thống</t>
  </si>
  <si>
    <t>Code back-end kiểm duyệt yêu cầu hệ thống</t>
  </si>
  <si>
    <t>Thiết kế front-end quản lý tài khoản</t>
  </si>
  <si>
    <t>Code back-end quản lý tài khoản</t>
  </si>
  <si>
    <t>Thiết kế front-end quản lý doanh thu hệ thống</t>
  </si>
  <si>
    <t>Thiết kế front-end quản lý khuyến mãi hệ thống</t>
  </si>
  <si>
    <t>Code back-end quản lý khuyến mãi hệ thống</t>
  </si>
  <si>
    <t>Kiểm tra lại quản lý khuyến mãi hệ thống</t>
  </si>
  <si>
    <t>Sửa lỗi quản lý khuyến mãi hệ thống</t>
  </si>
  <si>
    <t>Kiểm tra quản lý khuyến mãi hệ thống</t>
  </si>
  <si>
    <t>Kiểm tra quản lý doanh thu hệ thống</t>
  </si>
  <si>
    <t>Kiểm tra lại quản lý doanh thu hệ thống</t>
  </si>
  <si>
    <t>Kiểm tra thống kê hệ thống</t>
  </si>
  <si>
    <t>Sửa lỗi thống kê hệ thống</t>
  </si>
  <si>
    <t>Kiểm tra lại thống kê hệ thống</t>
  </si>
  <si>
    <t>Kiểm tra quản lý đơn hàng hệ thống</t>
  </si>
  <si>
    <t>Sửa lỗi quản lý đơn hàng hệ thống</t>
  </si>
  <si>
    <t>Kiểm tra lại quản lý đơn hàng hệ thống</t>
  </si>
  <si>
    <t>Kiểm tra kiểm duyệt yêu cầu hệ thống</t>
  </si>
  <si>
    <t>Sửa lỗi kiểm duyệt yêu cầu hệ thống</t>
  </si>
  <si>
    <t>Kiểm tra lại kiểm duyệt yêu cầu hệ thống</t>
  </si>
  <si>
    <t>Kiểm tra quản lý tài khoản</t>
  </si>
  <si>
    <t>Sửa lỗi quản lý tài khoản</t>
  </si>
  <si>
    <t>Yên, Ly</t>
  </si>
  <si>
    <t>Vy, Thi, Cường</t>
  </si>
  <si>
    <t>Cường</t>
  </si>
  <si>
    <t>Ly</t>
  </si>
  <si>
    <t>Thi</t>
  </si>
  <si>
    <t>Vy</t>
  </si>
  <si>
    <t>Yên</t>
  </si>
  <si>
    <t>Cường, Ly</t>
  </si>
  <si>
    <t>Thiết kế trường kiểm thử cho thống kê hệ thống</t>
  </si>
  <si>
    <t>Thiết kế trường kiểm thử cho quản lý đơn hàng hệ thống</t>
  </si>
  <si>
    <t>Thiết kế trường kiểm thử cho kiểm duyệt yêu cầu hệ thống</t>
  </si>
  <si>
    <t>Thiết kế trường kiểm thử cho quản lý tài khoản</t>
  </si>
  <si>
    <t>Thiết kế trường kiểm thử cho quản lý doanh thu hệ thống</t>
  </si>
  <si>
    <t>Code back-end xem quản lý doanh thu hệ thống</t>
  </si>
  <si>
    <t>Thiết kế trường kiểm thử cho quản lý khuyến mãi hệ thống</t>
  </si>
  <si>
    <t>Kiểm tra lại  kiểm duyệt yêu cầu hệ thống</t>
  </si>
  <si>
    <t>Sửa lỗi xem quản lý doanh thu hệ thống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</si>
</sst>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"/>
  </numFmts>
  <fonts count="6" x14ac:knownFonts="1">
    <font>
      <sz val="11"/>
      <color theme="1"/>
      <name val="Arial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1"/>
      <color theme="1"/>
      <name val="Arial"/>
      <family val="2"/>
      <scheme val="minor"/>
    </font>
    <font>
      <sz val="13"/>
      <color theme="1"/>
      <name val="Times New Roman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6" borderId="0" applyNumberFormat="0" applyBorder="0" applyAlignment="0" applyProtection="0"/>
  </cellStyleXfs>
  <cellXfs count="53">
    <xf numFmtId="0" fontId="0" fillId="0" borderId="0" xfId="0"/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164" fontId="1" fillId="0" borderId="1" xfId="0" applyNumberFormat="1" applyFont="1" applyBorder="1" applyAlignment="1">
      <alignment vertical="center" textRotation="90" wrapText="1"/>
    </xf>
    <xf numFmtId="0" fontId="2" fillId="0" borderId="1" xfId="0" applyFont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6" borderId="1" xfId="1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 textRotation="90" wrapText="1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14" fontId="3" fillId="0" borderId="2" xfId="0" applyNumberFormat="1" applyFont="1" applyBorder="1" applyAlignment="1">
      <alignment horizontal="left" vertical="center"/>
    </xf>
    <xf numFmtId="14" fontId="3" fillId="0" borderId="4" xfId="0" applyNumberFormat="1" applyFont="1" applyBorder="1" applyAlignment="1">
      <alignment horizontal="left" vertical="center"/>
    </xf>
    <xf numFmtId="14" fontId="3" fillId="0" borderId="3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2">
    <cellStyle name="40% - Accent3" xfId="1" builtinId="3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cat>
            <c:numRef>
              <c:f>Sprint1!$I$15:$Z$15</c:f>
              <c:numCache>
                <c:formatCode>dd/mm</c:formatCode>
                <c:ptCount val="18"/>
                <c:pt idx="0">
                  <c:v>46102</c:v>
                </c:pt>
                <c:pt idx="1">
                  <c:v>46103</c:v>
                </c:pt>
                <c:pt idx="2">
                  <c:v>46104</c:v>
                </c:pt>
                <c:pt idx="3">
                  <c:v>46105</c:v>
                </c:pt>
                <c:pt idx="4">
                  <c:v>46106</c:v>
                </c:pt>
                <c:pt idx="5">
                  <c:v>46107</c:v>
                </c:pt>
                <c:pt idx="6">
                  <c:v>46108</c:v>
                </c:pt>
                <c:pt idx="7">
                  <c:v>46109</c:v>
                </c:pt>
                <c:pt idx="8">
                  <c:v>46110</c:v>
                </c:pt>
                <c:pt idx="9">
                  <c:v>46111</c:v>
                </c:pt>
                <c:pt idx="10">
                  <c:v>46112</c:v>
                </c:pt>
                <c:pt idx="11">
                  <c:v>46113</c:v>
                </c:pt>
                <c:pt idx="12">
                  <c:v>46114</c:v>
                </c:pt>
                <c:pt idx="13">
                  <c:v>46115</c:v>
                </c:pt>
                <c:pt idx="14">
                  <c:v>46116</c:v>
                </c:pt>
                <c:pt idx="15">
                  <c:v>46117</c:v>
                </c:pt>
                <c:pt idx="16">
                  <c:v>46118</c:v>
                </c:pt>
                <c:pt idx="17">
                  <c:v>46119</c:v>
                </c:pt>
              </c:numCache>
            </c:numRef>
          </c:cat>
          <c:val>
            <c:numRef>
              <c:f>Sprint1!$I$91:$Z$91</c:f>
              <c:numCache>
                <c:formatCode>General</c:formatCode>
                <c:ptCount val="18"/>
                <c:pt idx="0">
                  <c:v>180</c:v>
                </c:pt>
                <c:pt idx="1">
                  <c:v>170</c:v>
                </c:pt>
                <c:pt idx="2">
                  <c:v>160</c:v>
                </c:pt>
                <c:pt idx="3">
                  <c:v>152</c:v>
                </c:pt>
                <c:pt idx="4">
                  <c:v>140</c:v>
                </c:pt>
                <c:pt idx="5">
                  <c:v>132</c:v>
                </c:pt>
                <c:pt idx="6">
                  <c:v>124</c:v>
                </c:pt>
                <c:pt idx="7">
                  <c:v>116</c:v>
                </c:pt>
                <c:pt idx="8">
                  <c:v>102</c:v>
                </c:pt>
                <c:pt idx="9">
                  <c:v>92</c:v>
                </c:pt>
                <c:pt idx="10">
                  <c:v>82</c:v>
                </c:pt>
                <c:pt idx="11">
                  <c:v>78</c:v>
                </c:pt>
                <c:pt idx="12">
                  <c:v>64</c:v>
                </c:pt>
                <c:pt idx="13">
                  <c:v>56</c:v>
                </c:pt>
                <c:pt idx="14">
                  <c:v>46</c:v>
                </c:pt>
                <c:pt idx="15">
                  <c:v>38</c:v>
                </c:pt>
                <c:pt idx="16">
                  <c:v>20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47-438C-8E94-F499FEC1AA06}"/>
            </c:ext>
          </c:extLst>
        </c:ser>
        <c:ser>
          <c:idx val="1"/>
          <c:order val="1"/>
          <c:tx>
            <c:v>Ước tính</c:v>
          </c:tx>
          <c:cat>
            <c:numRef>
              <c:f>Sprint1!$I$15:$Z$15</c:f>
              <c:numCache>
                <c:formatCode>dd/mm</c:formatCode>
                <c:ptCount val="18"/>
                <c:pt idx="0">
                  <c:v>46102</c:v>
                </c:pt>
                <c:pt idx="1">
                  <c:v>46103</c:v>
                </c:pt>
                <c:pt idx="2">
                  <c:v>46104</c:v>
                </c:pt>
                <c:pt idx="3">
                  <c:v>46105</c:v>
                </c:pt>
                <c:pt idx="4">
                  <c:v>46106</c:v>
                </c:pt>
                <c:pt idx="5">
                  <c:v>46107</c:v>
                </c:pt>
                <c:pt idx="6">
                  <c:v>46108</c:v>
                </c:pt>
                <c:pt idx="7">
                  <c:v>46109</c:v>
                </c:pt>
                <c:pt idx="8">
                  <c:v>46110</c:v>
                </c:pt>
                <c:pt idx="9">
                  <c:v>46111</c:v>
                </c:pt>
                <c:pt idx="10">
                  <c:v>46112</c:v>
                </c:pt>
                <c:pt idx="11">
                  <c:v>46113</c:v>
                </c:pt>
                <c:pt idx="12">
                  <c:v>46114</c:v>
                </c:pt>
                <c:pt idx="13">
                  <c:v>46115</c:v>
                </c:pt>
                <c:pt idx="14">
                  <c:v>46116</c:v>
                </c:pt>
                <c:pt idx="15">
                  <c:v>46117</c:v>
                </c:pt>
                <c:pt idx="16">
                  <c:v>46118</c:v>
                </c:pt>
                <c:pt idx="17">
                  <c:v>46119</c:v>
                </c:pt>
              </c:numCache>
            </c:numRef>
          </c:cat>
          <c:val>
            <c:numRef>
              <c:f>Sprint1!$I$92:$Z$92</c:f>
              <c:numCache>
                <c:formatCode>General</c:formatCode>
                <c:ptCount val="18"/>
                <c:pt idx="0">
                  <c:v>180</c:v>
                </c:pt>
                <c:pt idx="1">
                  <c:v>170</c:v>
                </c:pt>
                <c:pt idx="2">
                  <c:v>160</c:v>
                </c:pt>
                <c:pt idx="3">
                  <c:v>152</c:v>
                </c:pt>
                <c:pt idx="4">
                  <c:v>141</c:v>
                </c:pt>
                <c:pt idx="5">
                  <c:v>132</c:v>
                </c:pt>
                <c:pt idx="6">
                  <c:v>124</c:v>
                </c:pt>
                <c:pt idx="7">
                  <c:v>115</c:v>
                </c:pt>
                <c:pt idx="8">
                  <c:v>102</c:v>
                </c:pt>
                <c:pt idx="9">
                  <c:v>92</c:v>
                </c:pt>
                <c:pt idx="10">
                  <c:v>82</c:v>
                </c:pt>
                <c:pt idx="11">
                  <c:v>76</c:v>
                </c:pt>
                <c:pt idx="12">
                  <c:v>64</c:v>
                </c:pt>
                <c:pt idx="13">
                  <c:v>56</c:v>
                </c:pt>
                <c:pt idx="14">
                  <c:v>46</c:v>
                </c:pt>
                <c:pt idx="15">
                  <c:v>38</c:v>
                </c:pt>
                <c:pt idx="16">
                  <c:v>20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647-438C-8E94-F499FEC1AA06}"/>
            </c:ext>
          </c:extLst>
        </c:ser>
        <c:ser>
          <c:idx val="2"/>
          <c:order val="2"/>
          <c:tx>
            <c:v>Ngày</c:v>
          </c:tx>
          <c:cat>
            <c:numRef>
              <c:f>Sprint1!$I$15:$Z$15</c:f>
              <c:numCache>
                <c:formatCode>dd/mm</c:formatCode>
                <c:ptCount val="18"/>
                <c:pt idx="0">
                  <c:v>46102</c:v>
                </c:pt>
                <c:pt idx="1">
                  <c:v>46103</c:v>
                </c:pt>
                <c:pt idx="2">
                  <c:v>46104</c:v>
                </c:pt>
                <c:pt idx="3">
                  <c:v>46105</c:v>
                </c:pt>
                <c:pt idx="4">
                  <c:v>46106</c:v>
                </c:pt>
                <c:pt idx="5">
                  <c:v>46107</c:v>
                </c:pt>
                <c:pt idx="6">
                  <c:v>46108</c:v>
                </c:pt>
                <c:pt idx="7">
                  <c:v>46109</c:v>
                </c:pt>
                <c:pt idx="8">
                  <c:v>46110</c:v>
                </c:pt>
                <c:pt idx="9">
                  <c:v>46111</c:v>
                </c:pt>
                <c:pt idx="10">
                  <c:v>46112</c:v>
                </c:pt>
                <c:pt idx="11">
                  <c:v>46113</c:v>
                </c:pt>
                <c:pt idx="12">
                  <c:v>46114</c:v>
                </c:pt>
                <c:pt idx="13">
                  <c:v>46115</c:v>
                </c:pt>
                <c:pt idx="14">
                  <c:v>46116</c:v>
                </c:pt>
                <c:pt idx="15">
                  <c:v>46117</c:v>
                </c:pt>
                <c:pt idx="16">
                  <c:v>46118</c:v>
                </c:pt>
                <c:pt idx="17">
                  <c:v>46119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3647-438C-8E94-F499FEC1A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6295640"/>
        <c:axId val="226296816"/>
      </c:lineChart>
      <c:dateAx>
        <c:axId val="226295640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6816"/>
        <c:crosses val="autoZero"/>
        <c:auto val="0"/>
        <c:lblOffset val="100"/>
        <c:baseTimeUnit val="days"/>
      </c:dateAx>
      <c:valAx>
        <c:axId val="226296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5640"/>
        <c:crosses val="autoZero"/>
        <c:crossBetween val="between"/>
      </c:valAx>
    </c:plotArea>
    <c:legend>
      <c:legendPos val="r"/>
      <c:legendEntry>
        <c:idx val="2"/>
        <c:delete val="1"/>
      </c:legendEntry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43132</xdr:colOff>
      <xdr:row>95</xdr:row>
      <xdr:rowOff>172529</xdr:rowOff>
    </xdr:from>
    <xdr:to>
      <xdr:col>19</xdr:col>
      <xdr:colOff>455116</xdr:colOff>
      <xdr:row>115</xdr:row>
      <xdr:rowOff>76890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wnload/12/Bao%20cao%20Su%20dung%20cho%20de%20tai%20nhom/SCI_SE_10.ProjectSprintBacklo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rint 1"/>
      <sheetName val="Sprint 2"/>
      <sheetName val="Sprint 3"/>
      <sheetName val="Total"/>
    </sheetNames>
    <sheetDataSet>
      <sheetData sheetId="0" refreshError="1"/>
      <sheetData sheetId="1">
        <row r="15">
          <cell r="I15">
            <v>45594</v>
          </cell>
          <cell r="J15">
            <v>45595</v>
          </cell>
          <cell r="K15">
            <v>45596</v>
          </cell>
          <cell r="L15">
            <v>45597</v>
          </cell>
          <cell r="M15">
            <v>45598</v>
          </cell>
          <cell r="N15">
            <v>45599</v>
          </cell>
          <cell r="O15">
            <v>45600</v>
          </cell>
          <cell r="P15">
            <v>45601</v>
          </cell>
          <cell r="Q15">
            <v>45602</v>
          </cell>
          <cell r="R15">
            <v>45603</v>
          </cell>
          <cell r="S15">
            <v>45604</v>
          </cell>
          <cell r="T15">
            <v>45605</v>
          </cell>
          <cell r="U15">
            <v>45606</v>
          </cell>
          <cell r="V15">
            <v>45607</v>
          </cell>
          <cell r="W15">
            <v>45608</v>
          </cell>
          <cell r="X15">
            <v>45609</v>
          </cell>
          <cell r="Y15">
            <v>45610</v>
          </cell>
          <cell r="Z15">
            <v>45611</v>
          </cell>
          <cell r="AA15">
            <v>45612</v>
          </cell>
          <cell r="AB15">
            <v>45613</v>
          </cell>
          <cell r="AC15">
            <v>45614</v>
          </cell>
        </row>
        <row r="98">
          <cell r="I98">
            <v>156</v>
          </cell>
          <cell r="J98">
            <v>144</v>
          </cell>
          <cell r="K98">
            <v>142</v>
          </cell>
          <cell r="L98">
            <v>138</v>
          </cell>
          <cell r="M98">
            <v>133</v>
          </cell>
          <cell r="N98">
            <v>121</v>
          </cell>
          <cell r="O98">
            <v>116</v>
          </cell>
          <cell r="P98">
            <v>114</v>
          </cell>
          <cell r="Q98">
            <v>104</v>
          </cell>
          <cell r="R98">
            <v>96</v>
          </cell>
          <cell r="S98">
            <v>89</v>
          </cell>
          <cell r="T98">
            <v>85</v>
          </cell>
          <cell r="U98">
            <v>79</v>
          </cell>
          <cell r="V98">
            <v>76</v>
          </cell>
          <cell r="W98">
            <v>65</v>
          </cell>
          <cell r="X98">
            <v>55</v>
          </cell>
          <cell r="Y98">
            <v>45</v>
          </cell>
          <cell r="Z98">
            <v>38</v>
          </cell>
          <cell r="AA98">
            <v>28</v>
          </cell>
          <cell r="AB98">
            <v>24</v>
          </cell>
          <cell r="AC98">
            <v>11</v>
          </cell>
        </row>
        <row r="99">
          <cell r="I99">
            <v>156</v>
          </cell>
          <cell r="J99">
            <v>146</v>
          </cell>
          <cell r="K99">
            <v>142</v>
          </cell>
          <cell r="L99">
            <v>138</v>
          </cell>
          <cell r="M99">
            <v>133</v>
          </cell>
          <cell r="N99">
            <v>126</v>
          </cell>
          <cell r="O99">
            <v>116</v>
          </cell>
          <cell r="P99">
            <v>112</v>
          </cell>
          <cell r="Q99">
            <v>107</v>
          </cell>
          <cell r="R99">
            <v>97</v>
          </cell>
          <cell r="S99">
            <v>89</v>
          </cell>
          <cell r="T99">
            <v>83</v>
          </cell>
          <cell r="U99">
            <v>79</v>
          </cell>
          <cell r="V99">
            <v>75</v>
          </cell>
          <cell r="W99">
            <v>65</v>
          </cell>
          <cell r="X99">
            <v>55</v>
          </cell>
          <cell r="Y99">
            <v>45</v>
          </cell>
          <cell r="Z99">
            <v>38</v>
          </cell>
          <cell r="AA99">
            <v>28</v>
          </cell>
          <cell r="AB99">
            <v>25</v>
          </cell>
          <cell r="AC99">
            <v>10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0"/>
  <sheetViews>
    <sheetView tabSelected="1" topLeftCell="C76" zoomScale="60" zoomScaleNormal="60" workbookViewId="0">
      <selection activeCell="V119" sqref="V119"/>
    </sheetView>
  </sheetViews>
  <sheetFormatPr defaultColWidth="8.8984375" defaultRowHeight="16.8" x14ac:dyDescent="0.25"/>
  <cols>
    <col min="1" max="1" width="8.8984375" style="1"/>
    <col min="2" max="2" width="17.19921875" style="1" customWidth="1"/>
    <col min="3" max="3" width="41" style="1" customWidth="1"/>
    <col min="4" max="4" width="12.8984375" style="1" customWidth="1"/>
    <col min="5" max="5" width="11.796875" style="1" customWidth="1"/>
    <col min="6" max="6" width="6.59765625" style="1" customWidth="1"/>
    <col min="7" max="8" width="8.8984375" style="1"/>
    <col min="9" max="9" width="10.09765625" style="1" customWidth="1"/>
    <col min="10" max="26" width="8.8984375" style="1"/>
    <col min="27" max="27" width="8.8984375" style="1" customWidth="1"/>
    <col min="28" max="16384" width="8.8984375" style="1"/>
  </cols>
  <sheetData>
    <row r="1" spans="1:26" ht="27" customHeight="1" x14ac:dyDescent="0.25">
      <c r="A1" s="40" t="s">
        <v>0</v>
      </c>
      <c r="B1" s="41"/>
      <c r="C1" s="34" t="s">
        <v>36</v>
      </c>
      <c r="D1" s="36"/>
      <c r="E1" s="36"/>
      <c r="F1" s="36"/>
      <c r="G1" s="35"/>
    </row>
    <row r="2" spans="1:26" x14ac:dyDescent="0.25">
      <c r="A2" s="40" t="s">
        <v>2</v>
      </c>
      <c r="B2" s="41"/>
      <c r="C2" s="34" t="s">
        <v>3</v>
      </c>
      <c r="D2" s="36"/>
      <c r="E2" s="36"/>
      <c r="F2" s="36"/>
      <c r="G2" s="35"/>
    </row>
    <row r="3" spans="1:26" x14ac:dyDescent="0.25">
      <c r="A3" s="40" t="s">
        <v>5</v>
      </c>
      <c r="B3" s="41"/>
      <c r="C3" s="37">
        <v>46102</v>
      </c>
      <c r="D3" s="38"/>
      <c r="E3" s="38"/>
      <c r="F3" s="38"/>
      <c r="G3" s="39"/>
      <c r="J3" s="2"/>
      <c r="K3" s="32" t="s">
        <v>1</v>
      </c>
      <c r="L3" s="32"/>
      <c r="M3" s="32"/>
    </row>
    <row r="4" spans="1:26" x14ac:dyDescent="0.25">
      <c r="A4" s="40" t="s">
        <v>7</v>
      </c>
      <c r="B4" s="41"/>
      <c r="C4" s="37">
        <v>46119</v>
      </c>
      <c r="D4" s="38"/>
      <c r="E4" s="38"/>
      <c r="F4" s="38"/>
      <c r="G4" s="39"/>
      <c r="J4" s="3"/>
      <c r="K4" s="32" t="s">
        <v>4</v>
      </c>
      <c r="L4" s="32"/>
      <c r="M4" s="32"/>
    </row>
    <row r="5" spans="1:26" x14ac:dyDescent="0.25">
      <c r="J5" s="4"/>
      <c r="K5" s="32" t="s">
        <v>6</v>
      </c>
      <c r="L5" s="32"/>
      <c r="M5" s="32"/>
    </row>
    <row r="6" spans="1:26" x14ac:dyDescent="0.25">
      <c r="B6" s="42" t="s">
        <v>8</v>
      </c>
      <c r="C6" s="42"/>
      <c r="D6" s="42"/>
      <c r="E6" s="42"/>
    </row>
    <row r="7" spans="1:26" x14ac:dyDescent="0.25">
      <c r="B7" s="11" t="s">
        <v>9</v>
      </c>
      <c r="C7" s="11" t="s">
        <v>10</v>
      </c>
      <c r="D7" s="11" t="s">
        <v>11</v>
      </c>
      <c r="E7" s="11" t="s">
        <v>12</v>
      </c>
    </row>
    <row r="8" spans="1:26" x14ac:dyDescent="0.25">
      <c r="B8" s="10">
        <v>1</v>
      </c>
      <c r="C8" s="9" t="s">
        <v>37</v>
      </c>
      <c r="D8" s="10">
        <f ca="1">SUMIF(E15:F90,"Cường",G15:G90)+SUMIF(E15:F90,"Vy, Thi, Cường",G15:G90)/3+SUMIF(E15:F90,"All team",G15:G90)/5+SUMIF(E15:F90,"Cường, Ly",G15:G90)/2</f>
        <v>38.5</v>
      </c>
      <c r="E8" s="10">
        <f ca="1">SUMIF(E15:F90,"Cường",H15:H90)+SUMIF(E15:F90,"Vy, Thi, Cường",H15:H90)/3+SUMIF(E15:F90,"All team",H15:H90)/5+SUMIF(E15:F90,"Cường, Ly",H15:H90)/2</f>
        <v>38</v>
      </c>
    </row>
    <row r="9" spans="1:26" ht="26.4" customHeight="1" x14ac:dyDescent="0.25">
      <c r="B9" s="10">
        <v>2</v>
      </c>
      <c r="C9" s="9" t="s">
        <v>38</v>
      </c>
      <c r="D9" s="10">
        <f ca="1">SUMIF(E15:F90,"Ly",G15:G90)+SUMIF(E15:F90,"Yên, Ly",G15:G90)/2+SUMIF(E15:F90,"All team",G15:G90)/5+SUMIF(E15:F90,"Cường, Ly",G15:G90)/2</f>
        <v>40.5</v>
      </c>
      <c r="E9" s="10">
        <f ca="1">SUMIF(E15:F90,"Ly",H15:H90)+SUMIF(E15:F90,"Yên, Ly",H15:H90)/2+SUMIF(E15:F90,"All team",H15:H90)/5+SUMIF(E15:F90,"Cường, Ly",H15:H90)/2</f>
        <v>40</v>
      </c>
    </row>
    <row r="10" spans="1:26" x14ac:dyDescent="0.25">
      <c r="B10" s="10">
        <v>3</v>
      </c>
      <c r="C10" s="9" t="s">
        <v>39</v>
      </c>
      <c r="D10" s="10">
        <f ca="1">SUMIF(E15:F90,"Thi",G15:G90)+SUMIF(E15:F90,"Vy, Thi, Cường",G15:G90)/3+SUMIF(E15:F90,"All team",G15:G90)/5</f>
        <v>40</v>
      </c>
      <c r="E10" s="10">
        <f ca="1">SUMIF(E15:F90,"Thi",H15:H90)+SUMIF(E15:F90,"Vy, Thi, Cường",H15:H90)/3+SUMIF(E15:F90,"All team",H15:H90)/5</f>
        <v>40</v>
      </c>
    </row>
    <row r="11" spans="1:26" x14ac:dyDescent="0.25">
      <c r="B11" s="10">
        <v>4</v>
      </c>
      <c r="C11" s="9" t="s">
        <v>41</v>
      </c>
      <c r="D11" s="10">
        <f ca="1">SUMIF(E15:F90,"Vy",G15:G90)+SUMIF(E15:F90,"Vy, Thi, Cường",G15:G90)/3+SUMIF(E15:F90,"All team",G15:G90)/5</f>
        <v>40</v>
      </c>
      <c r="E11" s="10">
        <f ca="1">SUMIF(E15:F90,"Vy",H15:H90)+SUMIF(E15:F90,"Vy, Thi, Cường",H15:H90)/3+SUMIF(E15:F90,"All team",H15:H90)/5</f>
        <v>40</v>
      </c>
    </row>
    <row r="12" spans="1:26" x14ac:dyDescent="0.25">
      <c r="B12" s="10">
        <v>5</v>
      </c>
      <c r="C12" s="9" t="s">
        <v>40</v>
      </c>
      <c r="D12" s="10">
        <f ca="1">SUMIF(E15:F90,"Yên",G15:G90)+SUMIF(E15:F90,"Yên, Ly",G15:G90)/2+SUMIF(E15:F90,"All team",G15:G90)/5</f>
        <v>33</v>
      </c>
      <c r="E12" s="10">
        <f ca="1">SUMIF(E15:F90,"Yên",H15:H90)+SUMIF(E15:F90,"Yên, Ly",H15:H90)/2+SUMIF(E15:F90,"All team",H15:H90)/5</f>
        <v>32</v>
      </c>
    </row>
    <row r="13" spans="1:26" x14ac:dyDescent="0.25">
      <c r="B13" s="42" t="s">
        <v>13</v>
      </c>
      <c r="C13" s="42"/>
      <c r="D13" s="8">
        <f ca="1">SUM(D8:D12)</f>
        <v>192</v>
      </c>
      <c r="E13" s="8">
        <f ca="1">SUM(E8:E12)</f>
        <v>190</v>
      </c>
    </row>
    <row r="15" spans="1:26" ht="65.400000000000006" customHeight="1" x14ac:dyDescent="0.25">
      <c r="A15" s="5" t="s">
        <v>14</v>
      </c>
      <c r="B15" s="5" t="s">
        <v>15</v>
      </c>
      <c r="C15" s="43" t="s">
        <v>16</v>
      </c>
      <c r="D15" s="44"/>
      <c r="E15" s="45" t="s">
        <v>17</v>
      </c>
      <c r="F15" s="46"/>
      <c r="G15" s="15" t="s">
        <v>11</v>
      </c>
      <c r="H15" s="15" t="s">
        <v>12</v>
      </c>
      <c r="I15" s="6">
        <v>46102</v>
      </c>
      <c r="J15" s="6">
        <v>46103</v>
      </c>
      <c r="K15" s="6">
        <v>46104</v>
      </c>
      <c r="L15" s="6">
        <v>46105</v>
      </c>
      <c r="M15" s="6">
        <v>46106</v>
      </c>
      <c r="N15" s="6">
        <v>46107</v>
      </c>
      <c r="O15" s="6">
        <v>46108</v>
      </c>
      <c r="P15" s="6">
        <v>46109</v>
      </c>
      <c r="Q15" s="6">
        <v>46110</v>
      </c>
      <c r="R15" s="6">
        <v>46111</v>
      </c>
      <c r="S15" s="6">
        <v>46112</v>
      </c>
      <c r="T15" s="6">
        <v>46113</v>
      </c>
      <c r="U15" s="6">
        <v>46114</v>
      </c>
      <c r="V15" s="6">
        <v>46115</v>
      </c>
      <c r="W15" s="6">
        <v>46116</v>
      </c>
      <c r="X15" s="6">
        <v>46117</v>
      </c>
      <c r="Y15" s="6">
        <v>46118</v>
      </c>
      <c r="Z15" s="6">
        <v>46119</v>
      </c>
    </row>
    <row r="16" spans="1:26" x14ac:dyDescent="0.25">
      <c r="A16" s="21" t="s">
        <v>3</v>
      </c>
      <c r="B16" s="34" t="s">
        <v>18</v>
      </c>
      <c r="C16" s="36"/>
      <c r="D16" s="35"/>
      <c r="E16" s="17" t="s">
        <v>19</v>
      </c>
      <c r="F16" s="18"/>
      <c r="G16" s="16">
        <f>H16+I16</f>
        <v>10</v>
      </c>
      <c r="H16" s="16">
        <v>10</v>
      </c>
      <c r="I16" s="2">
        <v>0</v>
      </c>
      <c r="J16" s="7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14">
        <v>0</v>
      </c>
    </row>
    <row r="17" spans="1:26" x14ac:dyDescent="0.25">
      <c r="A17" s="22"/>
      <c r="B17" s="34" t="s">
        <v>20</v>
      </c>
      <c r="C17" s="36"/>
      <c r="D17" s="35"/>
      <c r="E17" s="17" t="s">
        <v>94</v>
      </c>
      <c r="F17" s="18"/>
      <c r="G17" s="16">
        <f>H17+J17</f>
        <v>4</v>
      </c>
      <c r="H17" s="16">
        <v>4</v>
      </c>
      <c r="I17" s="7">
        <v>4</v>
      </c>
      <c r="J17" s="2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14">
        <v>0</v>
      </c>
      <c r="Z17" s="14">
        <v>0</v>
      </c>
    </row>
    <row r="18" spans="1:26" x14ac:dyDescent="0.25">
      <c r="A18" s="22"/>
      <c r="B18" s="34" t="s">
        <v>21</v>
      </c>
      <c r="C18" s="36"/>
      <c r="D18" s="35"/>
      <c r="E18" s="17" t="s">
        <v>95</v>
      </c>
      <c r="F18" s="18"/>
      <c r="G18" s="16">
        <f>H18+J18</f>
        <v>6</v>
      </c>
      <c r="H18" s="16">
        <v>6</v>
      </c>
      <c r="I18" s="7">
        <v>6</v>
      </c>
      <c r="J18" s="2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14">
        <v>0</v>
      </c>
      <c r="Z18" s="14">
        <v>0</v>
      </c>
    </row>
    <row r="19" spans="1:26" ht="16.8" customHeight="1" x14ac:dyDescent="0.25">
      <c r="A19" s="22"/>
      <c r="B19" s="21" t="s">
        <v>22</v>
      </c>
      <c r="C19" s="47" t="s">
        <v>42</v>
      </c>
      <c r="D19" s="48"/>
      <c r="E19" s="17" t="s">
        <v>96</v>
      </c>
      <c r="F19" s="18"/>
      <c r="G19" s="16">
        <f>H19+K19</f>
        <v>2</v>
      </c>
      <c r="H19" s="16">
        <v>2</v>
      </c>
      <c r="I19" s="14">
        <v>2</v>
      </c>
      <c r="J19" s="14">
        <v>2</v>
      </c>
      <c r="K19" s="2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</row>
    <row r="20" spans="1:26" x14ac:dyDescent="0.25">
      <c r="A20" s="22"/>
      <c r="B20" s="22"/>
      <c r="C20" s="47" t="s">
        <v>43</v>
      </c>
      <c r="D20" s="48"/>
      <c r="E20" s="17" t="s">
        <v>97</v>
      </c>
      <c r="F20" s="18"/>
      <c r="G20" s="16">
        <f t="shared" ref="G20:G23" si="0">H20+K20</f>
        <v>2</v>
      </c>
      <c r="H20" s="16">
        <v>2</v>
      </c>
      <c r="I20" s="14">
        <v>2</v>
      </c>
      <c r="J20" s="14">
        <v>2</v>
      </c>
      <c r="K20" s="2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</row>
    <row r="21" spans="1:26" x14ac:dyDescent="0.25">
      <c r="A21" s="22"/>
      <c r="B21" s="22"/>
      <c r="C21" s="47" t="s">
        <v>44</v>
      </c>
      <c r="D21" s="48"/>
      <c r="E21" s="17" t="s">
        <v>98</v>
      </c>
      <c r="F21" s="18"/>
      <c r="G21" s="16">
        <f t="shared" si="0"/>
        <v>2</v>
      </c>
      <c r="H21" s="16">
        <v>2</v>
      </c>
      <c r="I21" s="14">
        <v>2</v>
      </c>
      <c r="J21" s="14">
        <v>2</v>
      </c>
      <c r="K21" s="2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</row>
    <row r="22" spans="1:26" x14ac:dyDescent="0.25">
      <c r="A22" s="22"/>
      <c r="B22" s="22"/>
      <c r="C22" s="47" t="s">
        <v>61</v>
      </c>
      <c r="D22" s="48"/>
      <c r="E22" s="17" t="s">
        <v>99</v>
      </c>
      <c r="F22" s="18"/>
      <c r="G22" s="16">
        <f t="shared" si="0"/>
        <v>2</v>
      </c>
      <c r="H22" s="16">
        <v>2</v>
      </c>
      <c r="I22" s="14">
        <v>2</v>
      </c>
      <c r="J22" s="14">
        <v>2</v>
      </c>
      <c r="K22" s="2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</row>
    <row r="23" spans="1:26" x14ac:dyDescent="0.25">
      <c r="A23" s="22"/>
      <c r="B23" s="22"/>
      <c r="C23" s="47" t="s">
        <v>62</v>
      </c>
      <c r="D23" s="48"/>
      <c r="E23" s="17" t="s">
        <v>100</v>
      </c>
      <c r="F23" s="18"/>
      <c r="G23" s="16">
        <f t="shared" si="0"/>
        <v>2</v>
      </c>
      <c r="H23" s="16">
        <v>2</v>
      </c>
      <c r="I23" s="14">
        <v>2</v>
      </c>
      <c r="J23" s="14">
        <v>2</v>
      </c>
      <c r="K23" s="2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</row>
    <row r="24" spans="1:26" x14ac:dyDescent="0.25">
      <c r="A24" s="22"/>
      <c r="B24" s="22"/>
      <c r="C24" s="47" t="s">
        <v>63</v>
      </c>
      <c r="D24" s="48"/>
      <c r="E24" s="17" t="s">
        <v>96</v>
      </c>
      <c r="F24" s="18"/>
      <c r="G24" s="16">
        <f>H24+L24</f>
        <v>2</v>
      </c>
      <c r="H24" s="16">
        <v>2</v>
      </c>
      <c r="I24" s="14">
        <v>2</v>
      </c>
      <c r="J24" s="14">
        <v>2</v>
      </c>
      <c r="K24" s="14">
        <v>2</v>
      </c>
      <c r="L24" s="2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</row>
    <row r="25" spans="1:26" x14ac:dyDescent="0.25">
      <c r="A25" s="22"/>
      <c r="B25" s="22"/>
      <c r="C25" s="47" t="s">
        <v>64</v>
      </c>
      <c r="D25" s="48"/>
      <c r="E25" s="17" t="s">
        <v>97</v>
      </c>
      <c r="F25" s="18"/>
      <c r="G25" s="16">
        <f t="shared" ref="G25:G27" si="1">H25+L25</f>
        <v>2</v>
      </c>
      <c r="H25" s="16">
        <v>2</v>
      </c>
      <c r="I25" s="14">
        <v>2</v>
      </c>
      <c r="J25" s="14">
        <v>2</v>
      </c>
      <c r="K25" s="14">
        <v>2</v>
      </c>
      <c r="L25" s="2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</row>
    <row r="26" spans="1:26" x14ac:dyDescent="0.25">
      <c r="A26" s="22"/>
      <c r="B26" s="22"/>
      <c r="C26" s="47" t="s">
        <v>65</v>
      </c>
      <c r="D26" s="48"/>
      <c r="E26" s="17" t="s">
        <v>98</v>
      </c>
      <c r="F26" s="18"/>
      <c r="G26" s="16">
        <f t="shared" si="1"/>
        <v>2</v>
      </c>
      <c r="H26" s="16">
        <v>2</v>
      </c>
      <c r="I26" s="14">
        <v>2</v>
      </c>
      <c r="J26" s="14">
        <v>2</v>
      </c>
      <c r="K26" s="14">
        <v>2</v>
      </c>
      <c r="L26" s="2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</row>
    <row r="27" spans="1:26" x14ac:dyDescent="0.25">
      <c r="A27" s="22"/>
      <c r="B27" s="22"/>
      <c r="C27" s="47" t="s">
        <v>66</v>
      </c>
      <c r="D27" s="48"/>
      <c r="E27" s="17" t="s">
        <v>99</v>
      </c>
      <c r="F27" s="18"/>
      <c r="G27" s="16">
        <f t="shared" si="1"/>
        <v>2</v>
      </c>
      <c r="H27" s="16">
        <v>2</v>
      </c>
      <c r="I27" s="14">
        <v>2</v>
      </c>
      <c r="J27" s="14">
        <v>2</v>
      </c>
      <c r="K27" s="14">
        <v>2</v>
      </c>
      <c r="L27" s="2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</row>
    <row r="28" spans="1:26" x14ac:dyDescent="0.25">
      <c r="A28" s="22"/>
      <c r="B28" s="22"/>
      <c r="C28" s="47" t="s">
        <v>23</v>
      </c>
      <c r="D28" s="48"/>
      <c r="E28" s="17" t="s">
        <v>19</v>
      </c>
      <c r="F28" s="18"/>
      <c r="G28" s="16">
        <f>H28+M29</f>
        <v>9</v>
      </c>
      <c r="H28" s="16">
        <v>10</v>
      </c>
      <c r="I28" s="14">
        <v>10</v>
      </c>
      <c r="J28" s="14">
        <v>10</v>
      </c>
      <c r="K28" s="14">
        <v>10</v>
      </c>
      <c r="L28" s="14">
        <v>10</v>
      </c>
      <c r="M28" s="2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</row>
    <row r="29" spans="1:26" x14ac:dyDescent="0.25">
      <c r="A29" s="22"/>
      <c r="B29" s="23"/>
      <c r="C29" s="49"/>
      <c r="D29" s="50"/>
      <c r="E29" s="17"/>
      <c r="F29" s="18"/>
      <c r="G29" s="16"/>
      <c r="H29" s="16"/>
      <c r="I29" s="9"/>
      <c r="J29" s="9"/>
      <c r="K29" s="9"/>
      <c r="L29" s="9"/>
      <c r="M29" s="4">
        <v>-1</v>
      </c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x14ac:dyDescent="0.25">
      <c r="A30" s="22"/>
      <c r="B30" s="21" t="s">
        <v>24</v>
      </c>
      <c r="C30" s="47" t="s">
        <v>25</v>
      </c>
      <c r="D30" s="48"/>
      <c r="E30" s="17" t="s">
        <v>96</v>
      </c>
      <c r="F30" s="18"/>
      <c r="G30" s="16">
        <f>H30+N30</f>
        <v>2</v>
      </c>
      <c r="H30" s="16">
        <v>2</v>
      </c>
      <c r="I30" s="14">
        <v>2</v>
      </c>
      <c r="J30" s="14">
        <v>2</v>
      </c>
      <c r="K30" s="14">
        <v>2</v>
      </c>
      <c r="L30" s="14">
        <v>2</v>
      </c>
      <c r="M30" s="14">
        <v>2</v>
      </c>
      <c r="N30" s="2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</row>
    <row r="31" spans="1:26" x14ac:dyDescent="0.25">
      <c r="A31" s="22"/>
      <c r="B31" s="22"/>
      <c r="C31" s="47" t="s">
        <v>45</v>
      </c>
      <c r="D31" s="48"/>
      <c r="E31" s="17" t="s">
        <v>97</v>
      </c>
      <c r="F31" s="18"/>
      <c r="G31" s="16">
        <f t="shared" ref="G31:G34" si="2">H31+N31</f>
        <v>2</v>
      </c>
      <c r="H31" s="16">
        <v>2</v>
      </c>
      <c r="I31" s="14">
        <v>2</v>
      </c>
      <c r="J31" s="14">
        <v>2</v>
      </c>
      <c r="K31" s="14">
        <v>2</v>
      </c>
      <c r="L31" s="14">
        <v>2</v>
      </c>
      <c r="M31" s="14">
        <v>2</v>
      </c>
      <c r="N31" s="2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</row>
    <row r="32" spans="1:26" x14ac:dyDescent="0.25">
      <c r="A32" s="22"/>
      <c r="B32" s="22"/>
      <c r="C32" s="47" t="s">
        <v>46</v>
      </c>
      <c r="D32" s="48"/>
      <c r="E32" s="17" t="s">
        <v>98</v>
      </c>
      <c r="F32" s="18"/>
      <c r="G32" s="16">
        <f t="shared" si="2"/>
        <v>2</v>
      </c>
      <c r="H32" s="16">
        <v>2</v>
      </c>
      <c r="I32" s="14">
        <v>2</v>
      </c>
      <c r="J32" s="14">
        <v>2</v>
      </c>
      <c r="K32" s="14">
        <v>2</v>
      </c>
      <c r="L32" s="14">
        <v>2</v>
      </c>
      <c r="M32" s="14">
        <v>2</v>
      </c>
      <c r="N32" s="2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</row>
    <row r="33" spans="1:26" x14ac:dyDescent="0.25">
      <c r="A33" s="22"/>
      <c r="B33" s="22"/>
      <c r="C33" s="47" t="s">
        <v>102</v>
      </c>
      <c r="D33" s="48"/>
      <c r="E33" s="17" t="s">
        <v>99</v>
      </c>
      <c r="F33" s="18"/>
      <c r="G33" s="16">
        <f t="shared" si="2"/>
        <v>2</v>
      </c>
      <c r="H33" s="16">
        <v>2</v>
      </c>
      <c r="I33" s="14">
        <v>2</v>
      </c>
      <c r="J33" s="14">
        <v>2</v>
      </c>
      <c r="K33" s="14">
        <v>2</v>
      </c>
      <c r="L33" s="14">
        <v>2</v>
      </c>
      <c r="M33" s="14">
        <v>2</v>
      </c>
      <c r="N33" s="2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</row>
    <row r="34" spans="1:26" x14ac:dyDescent="0.25">
      <c r="A34" s="22"/>
      <c r="B34" s="22"/>
      <c r="C34" s="47" t="s">
        <v>103</v>
      </c>
      <c r="D34" s="48"/>
      <c r="E34" s="17" t="s">
        <v>100</v>
      </c>
      <c r="F34" s="18"/>
      <c r="G34" s="16">
        <f t="shared" si="2"/>
        <v>2</v>
      </c>
      <c r="H34" s="16">
        <v>2</v>
      </c>
      <c r="I34" s="14">
        <v>2</v>
      </c>
      <c r="J34" s="14">
        <v>2</v>
      </c>
      <c r="K34" s="14">
        <v>2</v>
      </c>
      <c r="L34" s="14">
        <v>2</v>
      </c>
      <c r="M34" s="14">
        <v>2</v>
      </c>
      <c r="N34" s="2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</row>
    <row r="35" spans="1:26" x14ac:dyDescent="0.25">
      <c r="A35" s="22"/>
      <c r="B35" s="22"/>
      <c r="C35" s="47" t="s">
        <v>104</v>
      </c>
      <c r="D35" s="48"/>
      <c r="E35" s="17" t="s">
        <v>96</v>
      </c>
      <c r="F35" s="18"/>
      <c r="G35" s="16">
        <f>H35+O35</f>
        <v>2</v>
      </c>
      <c r="H35" s="16">
        <v>2</v>
      </c>
      <c r="I35" s="14">
        <v>2</v>
      </c>
      <c r="J35" s="14">
        <v>2</v>
      </c>
      <c r="K35" s="14">
        <v>2</v>
      </c>
      <c r="L35" s="14">
        <v>2</v>
      </c>
      <c r="M35" s="14">
        <v>2</v>
      </c>
      <c r="N35" s="14">
        <v>2</v>
      </c>
      <c r="O35" s="2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</row>
    <row r="36" spans="1:26" x14ac:dyDescent="0.25">
      <c r="A36" s="22"/>
      <c r="B36" s="22"/>
      <c r="C36" s="47" t="s">
        <v>105</v>
      </c>
      <c r="D36" s="48"/>
      <c r="E36" s="17" t="s">
        <v>97</v>
      </c>
      <c r="F36" s="18"/>
      <c r="G36" s="16">
        <f t="shared" ref="G36:G38" si="3">H36+O36</f>
        <v>2</v>
      </c>
      <c r="H36" s="16">
        <v>2</v>
      </c>
      <c r="I36" s="14">
        <v>2</v>
      </c>
      <c r="J36" s="14">
        <v>2</v>
      </c>
      <c r="K36" s="14">
        <v>2</v>
      </c>
      <c r="L36" s="14">
        <v>2</v>
      </c>
      <c r="M36" s="14">
        <v>2</v>
      </c>
      <c r="N36" s="14">
        <v>2</v>
      </c>
      <c r="O36" s="2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</row>
    <row r="37" spans="1:26" x14ac:dyDescent="0.25">
      <c r="A37" s="22"/>
      <c r="B37" s="22"/>
      <c r="C37" s="51" t="s">
        <v>106</v>
      </c>
      <c r="D37" s="52"/>
      <c r="E37" s="17" t="s">
        <v>98</v>
      </c>
      <c r="F37" s="18"/>
      <c r="G37" s="16">
        <f t="shared" si="3"/>
        <v>2</v>
      </c>
      <c r="H37" s="16">
        <v>2</v>
      </c>
      <c r="I37" s="14">
        <v>2</v>
      </c>
      <c r="J37" s="14">
        <v>2</v>
      </c>
      <c r="K37" s="14">
        <v>2</v>
      </c>
      <c r="L37" s="14">
        <v>2</v>
      </c>
      <c r="M37" s="14">
        <v>2</v>
      </c>
      <c r="N37" s="14">
        <v>2</v>
      </c>
      <c r="O37" s="2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</row>
    <row r="38" spans="1:26" x14ac:dyDescent="0.25">
      <c r="A38" s="22"/>
      <c r="B38" s="22"/>
      <c r="C38" s="47" t="s">
        <v>108</v>
      </c>
      <c r="D38" s="48"/>
      <c r="E38" s="17" t="s">
        <v>99</v>
      </c>
      <c r="F38" s="18"/>
      <c r="G38" s="16">
        <f t="shared" si="3"/>
        <v>2</v>
      </c>
      <c r="H38" s="16">
        <v>2</v>
      </c>
      <c r="I38" s="14">
        <v>2</v>
      </c>
      <c r="J38" s="14">
        <v>2</v>
      </c>
      <c r="K38" s="14">
        <v>2</v>
      </c>
      <c r="L38" s="14">
        <v>2</v>
      </c>
      <c r="M38" s="14">
        <v>2</v>
      </c>
      <c r="N38" s="14">
        <v>2</v>
      </c>
      <c r="O38" s="2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</row>
    <row r="39" spans="1:26" x14ac:dyDescent="0.25">
      <c r="A39" s="22"/>
      <c r="B39" s="22"/>
      <c r="C39" s="47" t="s">
        <v>26</v>
      </c>
      <c r="D39" s="48"/>
      <c r="E39" s="17" t="s">
        <v>19</v>
      </c>
      <c r="F39" s="18"/>
      <c r="G39" s="16">
        <f>H39+P40</f>
        <v>11</v>
      </c>
      <c r="H39" s="16">
        <v>10</v>
      </c>
      <c r="I39" s="14">
        <v>10</v>
      </c>
      <c r="J39" s="14">
        <v>10</v>
      </c>
      <c r="K39" s="14">
        <v>10</v>
      </c>
      <c r="L39" s="14">
        <v>10</v>
      </c>
      <c r="M39" s="14">
        <v>10</v>
      </c>
      <c r="N39" s="14">
        <v>10</v>
      </c>
      <c r="O39" s="14">
        <v>10</v>
      </c>
      <c r="P39" s="2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</row>
    <row r="40" spans="1:26" x14ac:dyDescent="0.25">
      <c r="A40" s="22"/>
      <c r="B40" s="23"/>
      <c r="C40" s="49"/>
      <c r="D40" s="50"/>
      <c r="E40" s="17"/>
      <c r="F40" s="18"/>
      <c r="G40" s="16"/>
      <c r="H40" s="16"/>
      <c r="I40" s="9"/>
      <c r="J40" s="9"/>
      <c r="K40" s="9"/>
      <c r="L40" s="9"/>
      <c r="M40" s="9"/>
      <c r="N40" s="9"/>
      <c r="O40" s="13"/>
      <c r="P40" s="3">
        <v>1</v>
      </c>
      <c r="Q40" s="13"/>
      <c r="R40" s="9"/>
      <c r="S40" s="9"/>
      <c r="T40" s="9"/>
      <c r="U40" s="9"/>
      <c r="V40" s="9"/>
      <c r="W40" s="9"/>
      <c r="X40" s="9"/>
      <c r="Y40" s="9"/>
      <c r="Z40" s="14"/>
    </row>
    <row r="41" spans="1:26" x14ac:dyDescent="0.25">
      <c r="A41" s="22"/>
      <c r="B41" s="21" t="s">
        <v>27</v>
      </c>
      <c r="C41" s="47" t="s">
        <v>47</v>
      </c>
      <c r="D41" s="48"/>
      <c r="E41" s="17" t="s">
        <v>96</v>
      </c>
      <c r="F41" s="18"/>
      <c r="G41" s="16">
        <f>H41+Q41</f>
        <v>2</v>
      </c>
      <c r="H41" s="16">
        <v>2</v>
      </c>
      <c r="I41" s="14">
        <v>2</v>
      </c>
      <c r="J41" s="14">
        <v>2</v>
      </c>
      <c r="K41" s="14">
        <v>2</v>
      </c>
      <c r="L41" s="14">
        <v>2</v>
      </c>
      <c r="M41" s="14">
        <v>2</v>
      </c>
      <c r="N41" s="14">
        <v>2</v>
      </c>
      <c r="O41" s="14">
        <v>2</v>
      </c>
      <c r="P41" s="14">
        <v>2</v>
      </c>
      <c r="Q41" s="2">
        <v>0</v>
      </c>
      <c r="R41" s="9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</row>
    <row r="42" spans="1:26" x14ac:dyDescent="0.25">
      <c r="A42" s="22"/>
      <c r="B42" s="22"/>
      <c r="C42" s="47" t="s">
        <v>49</v>
      </c>
      <c r="D42" s="48"/>
      <c r="E42" s="17" t="s">
        <v>97</v>
      </c>
      <c r="F42" s="18"/>
      <c r="G42" s="16">
        <f t="shared" ref="G42:G46" si="4">H42+Q42</f>
        <v>2</v>
      </c>
      <c r="H42" s="16">
        <v>2</v>
      </c>
      <c r="I42" s="14">
        <v>2</v>
      </c>
      <c r="J42" s="14">
        <v>2</v>
      </c>
      <c r="K42" s="14">
        <v>2</v>
      </c>
      <c r="L42" s="14">
        <v>2</v>
      </c>
      <c r="M42" s="14">
        <v>2</v>
      </c>
      <c r="N42" s="14">
        <v>2</v>
      </c>
      <c r="O42" s="14">
        <v>2</v>
      </c>
      <c r="P42" s="14">
        <v>2</v>
      </c>
      <c r="Q42" s="2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</row>
    <row r="43" spans="1:26" x14ac:dyDescent="0.25">
      <c r="A43" s="22"/>
      <c r="B43" s="22"/>
      <c r="C43" s="47" t="s">
        <v>51</v>
      </c>
      <c r="D43" s="48"/>
      <c r="E43" s="17" t="s">
        <v>98</v>
      </c>
      <c r="F43" s="18"/>
      <c r="G43" s="16">
        <f t="shared" si="4"/>
        <v>2</v>
      </c>
      <c r="H43" s="16">
        <v>2</v>
      </c>
      <c r="I43" s="14">
        <v>2</v>
      </c>
      <c r="J43" s="14">
        <v>2</v>
      </c>
      <c r="K43" s="14">
        <v>2</v>
      </c>
      <c r="L43" s="14">
        <v>2</v>
      </c>
      <c r="M43" s="14">
        <v>2</v>
      </c>
      <c r="N43" s="14">
        <v>2</v>
      </c>
      <c r="O43" s="14">
        <v>2</v>
      </c>
      <c r="P43" s="14">
        <v>2</v>
      </c>
      <c r="Q43" s="2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</row>
    <row r="44" spans="1:26" x14ac:dyDescent="0.25">
      <c r="A44" s="22"/>
      <c r="B44" s="22"/>
      <c r="C44" s="47" t="s">
        <v>67</v>
      </c>
      <c r="D44" s="48"/>
      <c r="E44" s="17" t="s">
        <v>99</v>
      </c>
      <c r="F44" s="18"/>
      <c r="G44" s="16">
        <f t="shared" si="4"/>
        <v>2</v>
      </c>
      <c r="H44" s="16">
        <v>2</v>
      </c>
      <c r="I44" s="14">
        <v>2</v>
      </c>
      <c r="J44" s="14">
        <v>2</v>
      </c>
      <c r="K44" s="14">
        <v>2</v>
      </c>
      <c r="L44" s="14">
        <v>2</v>
      </c>
      <c r="M44" s="14">
        <v>2</v>
      </c>
      <c r="N44" s="14">
        <v>2</v>
      </c>
      <c r="O44" s="14">
        <v>2</v>
      </c>
      <c r="P44" s="14">
        <v>2</v>
      </c>
      <c r="Q44" s="2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</row>
    <row r="45" spans="1:26" x14ac:dyDescent="0.25">
      <c r="A45" s="22"/>
      <c r="B45" s="22"/>
      <c r="C45" s="47" t="s">
        <v>69</v>
      </c>
      <c r="D45" s="48"/>
      <c r="E45" s="17" t="s">
        <v>100</v>
      </c>
      <c r="F45" s="18"/>
      <c r="G45" s="16">
        <f t="shared" si="4"/>
        <v>2</v>
      </c>
      <c r="H45" s="16">
        <v>2</v>
      </c>
      <c r="I45" s="14">
        <v>2</v>
      </c>
      <c r="J45" s="14">
        <v>2</v>
      </c>
      <c r="K45" s="14">
        <v>2</v>
      </c>
      <c r="L45" s="14">
        <v>2</v>
      </c>
      <c r="M45" s="14">
        <v>2</v>
      </c>
      <c r="N45" s="14">
        <v>2</v>
      </c>
      <c r="O45" s="14">
        <v>2</v>
      </c>
      <c r="P45" s="14">
        <v>2</v>
      </c>
      <c r="Q45" s="2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</row>
    <row r="46" spans="1:26" x14ac:dyDescent="0.25">
      <c r="A46" s="22"/>
      <c r="B46" s="22"/>
      <c r="C46" s="47" t="s">
        <v>71</v>
      </c>
      <c r="D46" s="48"/>
      <c r="E46" s="17" t="s">
        <v>96</v>
      </c>
      <c r="F46" s="18"/>
      <c r="G46" s="16">
        <f t="shared" si="4"/>
        <v>2</v>
      </c>
      <c r="H46" s="16">
        <v>2</v>
      </c>
      <c r="I46" s="14">
        <v>2</v>
      </c>
      <c r="J46" s="14">
        <v>2</v>
      </c>
      <c r="K46" s="14">
        <v>2</v>
      </c>
      <c r="L46" s="14">
        <v>2</v>
      </c>
      <c r="M46" s="14">
        <v>2</v>
      </c>
      <c r="N46" s="14">
        <v>2</v>
      </c>
      <c r="O46" s="14">
        <v>2</v>
      </c>
      <c r="P46" s="14">
        <v>2</v>
      </c>
      <c r="Q46" s="2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</row>
    <row r="47" spans="1:26" x14ac:dyDescent="0.25">
      <c r="A47" s="22"/>
      <c r="B47" s="22"/>
      <c r="C47" s="47" t="s">
        <v>73</v>
      </c>
      <c r="D47" s="48"/>
      <c r="E47" s="17" t="s">
        <v>97</v>
      </c>
      <c r="F47" s="18"/>
      <c r="G47" s="16">
        <f>H47+R47</f>
        <v>2</v>
      </c>
      <c r="H47" s="16">
        <v>2</v>
      </c>
      <c r="I47" s="14">
        <v>2</v>
      </c>
      <c r="J47" s="14">
        <v>2</v>
      </c>
      <c r="K47" s="14">
        <v>2</v>
      </c>
      <c r="L47" s="14">
        <v>2</v>
      </c>
      <c r="M47" s="14">
        <v>2</v>
      </c>
      <c r="N47" s="14">
        <v>2</v>
      </c>
      <c r="O47" s="14">
        <v>2</v>
      </c>
      <c r="P47" s="14">
        <v>2</v>
      </c>
      <c r="Q47" s="14">
        <v>2</v>
      </c>
      <c r="R47" s="2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</row>
    <row r="48" spans="1:26" x14ac:dyDescent="0.25">
      <c r="A48" s="22"/>
      <c r="B48" s="22"/>
      <c r="C48" s="47" t="s">
        <v>75</v>
      </c>
      <c r="D48" s="48"/>
      <c r="E48" s="17" t="s">
        <v>98</v>
      </c>
      <c r="F48" s="18"/>
      <c r="G48" s="16">
        <f t="shared" ref="G48:G51" si="5">H48+R48</f>
        <v>2</v>
      </c>
      <c r="H48" s="16">
        <v>2</v>
      </c>
      <c r="I48" s="14">
        <v>2</v>
      </c>
      <c r="J48" s="14">
        <v>2</v>
      </c>
      <c r="K48" s="14">
        <v>2</v>
      </c>
      <c r="L48" s="14">
        <v>2</v>
      </c>
      <c r="M48" s="14">
        <v>2</v>
      </c>
      <c r="N48" s="14">
        <v>2</v>
      </c>
      <c r="O48" s="14">
        <v>2</v>
      </c>
      <c r="P48" s="14">
        <v>2</v>
      </c>
      <c r="Q48" s="14">
        <v>2</v>
      </c>
      <c r="R48" s="2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</row>
    <row r="49" spans="1:26" x14ac:dyDescent="0.25">
      <c r="A49" s="22"/>
      <c r="B49" s="22"/>
      <c r="C49" s="47" t="s">
        <v>76</v>
      </c>
      <c r="D49" s="48"/>
      <c r="E49" s="17" t="s">
        <v>99</v>
      </c>
      <c r="F49" s="18"/>
      <c r="G49" s="16">
        <f t="shared" si="5"/>
        <v>2</v>
      </c>
      <c r="H49" s="16">
        <v>2</v>
      </c>
      <c r="I49" s="14">
        <v>2</v>
      </c>
      <c r="J49" s="14">
        <v>2</v>
      </c>
      <c r="K49" s="14">
        <v>2</v>
      </c>
      <c r="L49" s="14">
        <v>2</v>
      </c>
      <c r="M49" s="14">
        <v>2</v>
      </c>
      <c r="N49" s="14">
        <v>2</v>
      </c>
      <c r="O49" s="14">
        <v>2</v>
      </c>
      <c r="P49" s="14">
        <v>2</v>
      </c>
      <c r="Q49" s="14">
        <v>2</v>
      </c>
      <c r="R49" s="2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</row>
    <row r="50" spans="1:26" x14ac:dyDescent="0.25">
      <c r="A50" s="22"/>
      <c r="B50" s="22"/>
      <c r="C50" s="47" t="s">
        <v>48</v>
      </c>
      <c r="D50" s="48"/>
      <c r="E50" s="17" t="s">
        <v>98</v>
      </c>
      <c r="F50" s="18"/>
      <c r="G50" s="16">
        <f t="shared" si="5"/>
        <v>2</v>
      </c>
      <c r="H50" s="16">
        <v>2</v>
      </c>
      <c r="I50" s="14">
        <v>2</v>
      </c>
      <c r="J50" s="14">
        <v>2</v>
      </c>
      <c r="K50" s="14">
        <v>2</v>
      </c>
      <c r="L50" s="14">
        <v>2</v>
      </c>
      <c r="M50" s="14">
        <v>2</v>
      </c>
      <c r="N50" s="14">
        <v>2</v>
      </c>
      <c r="O50" s="14">
        <v>2</v>
      </c>
      <c r="P50" s="14">
        <v>2</v>
      </c>
      <c r="Q50" s="14">
        <v>2</v>
      </c>
      <c r="R50" s="2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</row>
    <row r="51" spans="1:26" x14ac:dyDescent="0.25">
      <c r="A51" s="22"/>
      <c r="B51" s="22"/>
      <c r="C51" s="47" t="s">
        <v>50</v>
      </c>
      <c r="D51" s="48"/>
      <c r="E51" s="17" t="s">
        <v>99</v>
      </c>
      <c r="F51" s="18"/>
      <c r="G51" s="16">
        <f t="shared" si="5"/>
        <v>2</v>
      </c>
      <c r="H51" s="16">
        <v>2</v>
      </c>
      <c r="I51" s="14">
        <v>2</v>
      </c>
      <c r="J51" s="14">
        <v>2</v>
      </c>
      <c r="K51" s="14">
        <v>2</v>
      </c>
      <c r="L51" s="14">
        <v>2</v>
      </c>
      <c r="M51" s="14">
        <v>2</v>
      </c>
      <c r="N51" s="14">
        <v>2</v>
      </c>
      <c r="O51" s="14">
        <v>2</v>
      </c>
      <c r="P51" s="14">
        <v>2</v>
      </c>
      <c r="Q51" s="14">
        <v>2</v>
      </c>
      <c r="R51" s="2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</row>
    <row r="52" spans="1:26" x14ac:dyDescent="0.25">
      <c r="A52" s="22"/>
      <c r="B52" s="22"/>
      <c r="C52" s="47" t="s">
        <v>52</v>
      </c>
      <c r="D52" s="48"/>
      <c r="E52" s="17" t="s">
        <v>100</v>
      </c>
      <c r="F52" s="18"/>
      <c r="G52" s="16">
        <f>H52+S52</f>
        <v>2</v>
      </c>
      <c r="H52" s="16">
        <v>2</v>
      </c>
      <c r="I52" s="14">
        <v>2</v>
      </c>
      <c r="J52" s="14">
        <v>2</v>
      </c>
      <c r="K52" s="14">
        <v>2</v>
      </c>
      <c r="L52" s="14">
        <v>2</v>
      </c>
      <c r="M52" s="14">
        <v>2</v>
      </c>
      <c r="N52" s="14">
        <v>2</v>
      </c>
      <c r="O52" s="14">
        <v>2</v>
      </c>
      <c r="P52" s="14">
        <v>2</v>
      </c>
      <c r="Q52" s="14">
        <v>2</v>
      </c>
      <c r="R52" s="14">
        <v>2</v>
      </c>
      <c r="S52" s="2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</row>
    <row r="53" spans="1:26" x14ac:dyDescent="0.25">
      <c r="A53" s="22"/>
      <c r="B53" s="22"/>
      <c r="C53" s="47" t="s">
        <v>68</v>
      </c>
      <c r="D53" s="48"/>
      <c r="E53" s="17" t="s">
        <v>96</v>
      </c>
      <c r="F53" s="18"/>
      <c r="G53" s="16">
        <f t="shared" ref="G53:G56" si="6">H53+S53</f>
        <v>2</v>
      </c>
      <c r="H53" s="16">
        <v>2</v>
      </c>
      <c r="I53" s="14">
        <v>2</v>
      </c>
      <c r="J53" s="14">
        <v>2</v>
      </c>
      <c r="K53" s="14">
        <v>2</v>
      </c>
      <c r="L53" s="14">
        <v>2</v>
      </c>
      <c r="M53" s="14">
        <v>2</v>
      </c>
      <c r="N53" s="14">
        <v>2</v>
      </c>
      <c r="O53" s="14">
        <v>2</v>
      </c>
      <c r="P53" s="14">
        <v>2</v>
      </c>
      <c r="Q53" s="14">
        <v>2</v>
      </c>
      <c r="R53" s="14">
        <v>2</v>
      </c>
      <c r="S53" s="2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</row>
    <row r="54" spans="1:26" x14ac:dyDescent="0.25">
      <c r="A54" s="22"/>
      <c r="B54" s="22"/>
      <c r="C54" s="47" t="s">
        <v>70</v>
      </c>
      <c r="D54" s="48"/>
      <c r="E54" s="17" t="s">
        <v>97</v>
      </c>
      <c r="F54" s="18"/>
      <c r="G54" s="16">
        <f t="shared" si="6"/>
        <v>2</v>
      </c>
      <c r="H54" s="16">
        <v>2</v>
      </c>
      <c r="I54" s="14">
        <v>2</v>
      </c>
      <c r="J54" s="14">
        <v>2</v>
      </c>
      <c r="K54" s="14">
        <v>2</v>
      </c>
      <c r="L54" s="14">
        <v>2</v>
      </c>
      <c r="M54" s="14">
        <v>2</v>
      </c>
      <c r="N54" s="14">
        <v>2</v>
      </c>
      <c r="O54" s="14">
        <v>2</v>
      </c>
      <c r="P54" s="14">
        <v>2</v>
      </c>
      <c r="Q54" s="14">
        <v>2</v>
      </c>
      <c r="R54" s="14">
        <v>2</v>
      </c>
      <c r="S54" s="2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</row>
    <row r="55" spans="1:26" x14ac:dyDescent="0.25">
      <c r="A55" s="22"/>
      <c r="B55" s="22"/>
      <c r="C55" s="51" t="s">
        <v>72</v>
      </c>
      <c r="D55" s="52"/>
      <c r="E55" s="17" t="s">
        <v>98</v>
      </c>
      <c r="F55" s="18"/>
      <c r="G55" s="16">
        <f t="shared" si="6"/>
        <v>2</v>
      </c>
      <c r="H55" s="16">
        <v>2</v>
      </c>
      <c r="I55" s="14">
        <v>2</v>
      </c>
      <c r="J55" s="14">
        <v>2</v>
      </c>
      <c r="K55" s="14">
        <v>2</v>
      </c>
      <c r="L55" s="14">
        <v>2</v>
      </c>
      <c r="M55" s="14">
        <v>2</v>
      </c>
      <c r="N55" s="14">
        <v>2</v>
      </c>
      <c r="O55" s="14">
        <v>2</v>
      </c>
      <c r="P55" s="14">
        <v>2</v>
      </c>
      <c r="Q55" s="14">
        <v>2</v>
      </c>
      <c r="R55" s="14">
        <v>2</v>
      </c>
      <c r="S55" s="2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</row>
    <row r="56" spans="1:26" x14ac:dyDescent="0.25">
      <c r="A56" s="22"/>
      <c r="B56" s="22"/>
      <c r="C56" s="47" t="s">
        <v>74</v>
      </c>
      <c r="D56" s="48"/>
      <c r="E56" s="17" t="s">
        <v>99</v>
      </c>
      <c r="F56" s="18"/>
      <c r="G56" s="16">
        <f t="shared" si="6"/>
        <v>2</v>
      </c>
      <c r="H56" s="16">
        <v>2</v>
      </c>
      <c r="I56" s="14">
        <v>2</v>
      </c>
      <c r="J56" s="14">
        <v>2</v>
      </c>
      <c r="K56" s="14">
        <v>2</v>
      </c>
      <c r="L56" s="14">
        <v>2</v>
      </c>
      <c r="M56" s="14">
        <v>2</v>
      </c>
      <c r="N56" s="14">
        <v>2</v>
      </c>
      <c r="O56" s="14">
        <v>2</v>
      </c>
      <c r="P56" s="14">
        <v>2</v>
      </c>
      <c r="Q56" s="14">
        <v>2</v>
      </c>
      <c r="R56" s="14">
        <v>2</v>
      </c>
      <c r="S56" s="2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</row>
    <row r="57" spans="1:26" x14ac:dyDescent="0.25">
      <c r="A57" s="22"/>
      <c r="B57" s="22"/>
      <c r="C57" s="47" t="s">
        <v>107</v>
      </c>
      <c r="D57" s="48"/>
      <c r="E57" s="17" t="s">
        <v>100</v>
      </c>
      <c r="F57" s="18"/>
      <c r="G57" s="16">
        <f>H57+T58</f>
        <v>3</v>
      </c>
      <c r="H57" s="16">
        <v>2</v>
      </c>
      <c r="I57" s="14">
        <v>2</v>
      </c>
      <c r="J57" s="14">
        <v>2</v>
      </c>
      <c r="K57" s="14">
        <v>2</v>
      </c>
      <c r="L57" s="14">
        <v>2</v>
      </c>
      <c r="M57" s="14">
        <v>2</v>
      </c>
      <c r="N57" s="14">
        <v>2</v>
      </c>
      <c r="O57" s="14">
        <v>2</v>
      </c>
      <c r="P57" s="14">
        <v>2</v>
      </c>
      <c r="Q57" s="14">
        <v>2</v>
      </c>
      <c r="R57" s="14">
        <v>2</v>
      </c>
      <c r="S57" s="14">
        <v>2</v>
      </c>
      <c r="T57" s="2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</row>
    <row r="58" spans="1:26" x14ac:dyDescent="0.25">
      <c r="A58" s="22"/>
      <c r="B58" s="22"/>
      <c r="C58" s="49"/>
      <c r="D58" s="50"/>
      <c r="E58" s="17"/>
      <c r="F58" s="18"/>
      <c r="G58" s="16"/>
      <c r="H58" s="16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3">
        <v>1</v>
      </c>
      <c r="U58" s="14"/>
      <c r="V58" s="14"/>
      <c r="W58" s="14"/>
      <c r="X58" s="14"/>
      <c r="Y58" s="14"/>
      <c r="Z58" s="14"/>
    </row>
    <row r="59" spans="1:26" x14ac:dyDescent="0.25">
      <c r="A59" s="22"/>
      <c r="B59" s="22"/>
      <c r="C59" s="47" t="s">
        <v>77</v>
      </c>
      <c r="D59" s="48"/>
      <c r="E59" s="17" t="s">
        <v>97</v>
      </c>
      <c r="F59" s="18"/>
      <c r="G59" s="16">
        <f>H59+T59</f>
        <v>2</v>
      </c>
      <c r="H59" s="16">
        <v>2</v>
      </c>
      <c r="I59" s="14">
        <v>2</v>
      </c>
      <c r="J59" s="14">
        <v>2</v>
      </c>
      <c r="K59" s="14">
        <v>2</v>
      </c>
      <c r="L59" s="14">
        <v>2</v>
      </c>
      <c r="M59" s="14">
        <v>2</v>
      </c>
      <c r="N59" s="14">
        <v>2</v>
      </c>
      <c r="O59" s="14">
        <v>2</v>
      </c>
      <c r="P59" s="14">
        <v>2</v>
      </c>
      <c r="Q59" s="14">
        <v>2</v>
      </c>
      <c r="R59" s="14">
        <v>2</v>
      </c>
      <c r="S59" s="14">
        <v>2</v>
      </c>
      <c r="T59" s="2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</row>
    <row r="60" spans="1:26" x14ac:dyDescent="0.25">
      <c r="A60" s="22"/>
      <c r="B60" s="22"/>
      <c r="C60" s="47" t="s">
        <v>28</v>
      </c>
      <c r="D60" s="48"/>
      <c r="E60" s="19" t="s">
        <v>101</v>
      </c>
      <c r="F60" s="20"/>
      <c r="G60" s="16">
        <f>H60+T61</f>
        <v>5</v>
      </c>
      <c r="H60" s="16">
        <v>4</v>
      </c>
      <c r="I60" s="14">
        <v>4</v>
      </c>
      <c r="J60" s="14">
        <v>4</v>
      </c>
      <c r="K60" s="14">
        <v>4</v>
      </c>
      <c r="L60" s="14">
        <v>4</v>
      </c>
      <c r="M60" s="14">
        <v>4</v>
      </c>
      <c r="N60" s="14">
        <v>4</v>
      </c>
      <c r="O60" s="14">
        <v>4</v>
      </c>
      <c r="P60" s="14">
        <v>4</v>
      </c>
      <c r="Q60" s="14">
        <v>4</v>
      </c>
      <c r="R60" s="14">
        <v>4</v>
      </c>
      <c r="S60" s="14">
        <v>4</v>
      </c>
      <c r="T60" s="2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</row>
    <row r="61" spans="1:26" x14ac:dyDescent="0.25">
      <c r="A61" s="22"/>
      <c r="B61" s="23"/>
      <c r="C61" s="47"/>
      <c r="D61" s="48"/>
      <c r="E61" s="17"/>
      <c r="F61" s="18"/>
      <c r="G61" s="16"/>
      <c r="H61" s="16"/>
      <c r="I61" s="7"/>
      <c r="J61" s="7"/>
      <c r="K61" s="9"/>
      <c r="L61" s="7"/>
      <c r="M61" s="7"/>
      <c r="N61" s="7"/>
      <c r="O61" s="7"/>
      <c r="P61" s="13"/>
      <c r="Q61" s="13"/>
      <c r="R61" s="13"/>
      <c r="S61" s="13"/>
      <c r="T61" s="3">
        <v>1</v>
      </c>
      <c r="U61" s="14"/>
      <c r="V61" s="14"/>
      <c r="W61" s="14"/>
      <c r="X61" s="14"/>
      <c r="Y61" s="14"/>
      <c r="Z61" s="14"/>
    </row>
    <row r="62" spans="1:26" x14ac:dyDescent="0.25">
      <c r="A62" s="22"/>
      <c r="B62" s="21" t="s">
        <v>29</v>
      </c>
      <c r="C62" s="47" t="s">
        <v>53</v>
      </c>
      <c r="D62" s="48"/>
      <c r="E62" s="17" t="s">
        <v>96</v>
      </c>
      <c r="F62" s="18"/>
      <c r="G62" s="16">
        <f>H62+U62</f>
        <v>2</v>
      </c>
      <c r="H62" s="16">
        <v>2</v>
      </c>
      <c r="I62" s="14">
        <v>2</v>
      </c>
      <c r="J62" s="14">
        <v>2</v>
      </c>
      <c r="K62" s="14">
        <v>2</v>
      </c>
      <c r="L62" s="14">
        <v>2</v>
      </c>
      <c r="M62" s="14">
        <v>2</v>
      </c>
      <c r="N62" s="14">
        <v>2</v>
      </c>
      <c r="O62" s="14">
        <v>2</v>
      </c>
      <c r="P62" s="14">
        <v>2</v>
      </c>
      <c r="Q62" s="14">
        <v>2</v>
      </c>
      <c r="R62" s="14">
        <v>2</v>
      </c>
      <c r="S62" s="14">
        <v>2</v>
      </c>
      <c r="T62" s="14">
        <v>2</v>
      </c>
      <c r="U62" s="2">
        <v>0</v>
      </c>
      <c r="V62" s="13">
        <v>0</v>
      </c>
      <c r="W62" s="14">
        <v>0</v>
      </c>
      <c r="X62" s="14">
        <v>0</v>
      </c>
      <c r="Y62" s="14">
        <v>0</v>
      </c>
      <c r="Z62" s="14">
        <v>0</v>
      </c>
    </row>
    <row r="63" spans="1:26" x14ac:dyDescent="0.25">
      <c r="A63" s="22"/>
      <c r="B63" s="22"/>
      <c r="C63" s="47" t="s">
        <v>54</v>
      </c>
      <c r="D63" s="48"/>
      <c r="E63" s="17" t="s">
        <v>97</v>
      </c>
      <c r="F63" s="18"/>
      <c r="G63" s="16">
        <f t="shared" ref="G63:G66" si="7">H63+U63</f>
        <v>2</v>
      </c>
      <c r="H63" s="16">
        <v>2</v>
      </c>
      <c r="I63" s="14">
        <v>2</v>
      </c>
      <c r="J63" s="14">
        <v>2</v>
      </c>
      <c r="K63" s="14">
        <v>2</v>
      </c>
      <c r="L63" s="14">
        <v>2</v>
      </c>
      <c r="M63" s="14">
        <v>2</v>
      </c>
      <c r="N63" s="14">
        <v>2</v>
      </c>
      <c r="O63" s="14">
        <v>2</v>
      </c>
      <c r="P63" s="14">
        <v>2</v>
      </c>
      <c r="Q63" s="14">
        <v>2</v>
      </c>
      <c r="R63" s="14">
        <v>2</v>
      </c>
      <c r="S63" s="14">
        <v>2</v>
      </c>
      <c r="T63" s="14">
        <v>2</v>
      </c>
      <c r="U63" s="2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</row>
    <row r="64" spans="1:26" x14ac:dyDescent="0.25">
      <c r="A64" s="22"/>
      <c r="B64" s="22"/>
      <c r="C64" s="47" t="s">
        <v>55</v>
      </c>
      <c r="D64" s="48"/>
      <c r="E64" s="17" t="s">
        <v>98</v>
      </c>
      <c r="F64" s="18"/>
      <c r="G64" s="16">
        <f t="shared" si="7"/>
        <v>2</v>
      </c>
      <c r="H64" s="16">
        <v>2</v>
      </c>
      <c r="I64" s="14">
        <v>2</v>
      </c>
      <c r="J64" s="14">
        <v>2</v>
      </c>
      <c r="K64" s="14">
        <v>2</v>
      </c>
      <c r="L64" s="14">
        <v>2</v>
      </c>
      <c r="M64" s="14">
        <v>2</v>
      </c>
      <c r="N64" s="14">
        <v>2</v>
      </c>
      <c r="O64" s="14">
        <v>2</v>
      </c>
      <c r="P64" s="14">
        <v>2</v>
      </c>
      <c r="Q64" s="14">
        <v>2</v>
      </c>
      <c r="R64" s="14">
        <v>2</v>
      </c>
      <c r="S64" s="14">
        <v>2</v>
      </c>
      <c r="T64" s="14">
        <v>2</v>
      </c>
      <c r="U64" s="2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</row>
    <row r="65" spans="1:26" x14ac:dyDescent="0.25">
      <c r="A65" s="22"/>
      <c r="B65" s="22"/>
      <c r="C65" s="47" t="s">
        <v>83</v>
      </c>
      <c r="D65" s="48"/>
      <c r="E65" s="17" t="s">
        <v>99</v>
      </c>
      <c r="F65" s="18"/>
      <c r="G65" s="16">
        <f t="shared" si="7"/>
        <v>2</v>
      </c>
      <c r="H65" s="16">
        <v>2</v>
      </c>
      <c r="I65" s="14">
        <v>2</v>
      </c>
      <c r="J65" s="14">
        <v>2</v>
      </c>
      <c r="K65" s="14">
        <v>2</v>
      </c>
      <c r="L65" s="14">
        <v>2</v>
      </c>
      <c r="M65" s="14">
        <v>2</v>
      </c>
      <c r="N65" s="14">
        <v>2</v>
      </c>
      <c r="O65" s="14">
        <v>2</v>
      </c>
      <c r="P65" s="14">
        <v>2</v>
      </c>
      <c r="Q65" s="14">
        <v>2</v>
      </c>
      <c r="R65" s="14">
        <v>2</v>
      </c>
      <c r="S65" s="14">
        <v>2</v>
      </c>
      <c r="T65" s="14">
        <v>2</v>
      </c>
      <c r="U65" s="2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</row>
    <row r="66" spans="1:26" x14ac:dyDescent="0.25">
      <c r="A66" s="22"/>
      <c r="B66" s="22"/>
      <c r="C66" s="47" t="s">
        <v>86</v>
      </c>
      <c r="D66" s="48"/>
      <c r="E66" s="17" t="s">
        <v>100</v>
      </c>
      <c r="F66" s="18"/>
      <c r="G66" s="16">
        <f t="shared" si="7"/>
        <v>2</v>
      </c>
      <c r="H66" s="16">
        <v>2</v>
      </c>
      <c r="I66" s="14">
        <v>2</v>
      </c>
      <c r="J66" s="14">
        <v>2</v>
      </c>
      <c r="K66" s="14">
        <v>2</v>
      </c>
      <c r="L66" s="14">
        <v>2</v>
      </c>
      <c r="M66" s="14">
        <v>2</v>
      </c>
      <c r="N66" s="14">
        <v>2</v>
      </c>
      <c r="O66" s="14">
        <v>2</v>
      </c>
      <c r="P66" s="14">
        <v>2</v>
      </c>
      <c r="Q66" s="14">
        <v>2</v>
      </c>
      <c r="R66" s="14">
        <v>2</v>
      </c>
      <c r="S66" s="14">
        <v>2</v>
      </c>
      <c r="T66" s="14">
        <v>2</v>
      </c>
      <c r="U66" s="2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</row>
    <row r="67" spans="1:26" x14ac:dyDescent="0.25">
      <c r="A67" s="22"/>
      <c r="B67" s="22"/>
      <c r="C67" s="47" t="s">
        <v>89</v>
      </c>
      <c r="D67" s="48"/>
      <c r="E67" s="17" t="s">
        <v>98</v>
      </c>
      <c r="F67" s="18"/>
      <c r="G67" s="16">
        <f>H67+V67</f>
        <v>2</v>
      </c>
      <c r="H67" s="16">
        <v>2</v>
      </c>
      <c r="I67" s="14">
        <v>2</v>
      </c>
      <c r="J67" s="14">
        <v>2</v>
      </c>
      <c r="K67" s="14">
        <v>2</v>
      </c>
      <c r="L67" s="14">
        <v>2</v>
      </c>
      <c r="M67" s="14">
        <v>2</v>
      </c>
      <c r="N67" s="14">
        <v>2</v>
      </c>
      <c r="O67" s="14">
        <v>2</v>
      </c>
      <c r="P67" s="14">
        <v>2</v>
      </c>
      <c r="Q67" s="14">
        <v>2</v>
      </c>
      <c r="R67" s="14">
        <v>2</v>
      </c>
      <c r="S67" s="14">
        <v>2</v>
      </c>
      <c r="T67" s="14">
        <v>2</v>
      </c>
      <c r="U67" s="14">
        <v>2</v>
      </c>
      <c r="V67" s="2">
        <v>0</v>
      </c>
      <c r="W67" s="14">
        <v>0</v>
      </c>
      <c r="X67" s="14">
        <v>0</v>
      </c>
      <c r="Y67" s="14">
        <v>0</v>
      </c>
      <c r="Z67" s="14">
        <v>0</v>
      </c>
    </row>
    <row r="68" spans="1:26" x14ac:dyDescent="0.25">
      <c r="A68" s="22"/>
      <c r="B68" s="22"/>
      <c r="C68" s="47" t="s">
        <v>92</v>
      </c>
      <c r="D68" s="48"/>
      <c r="E68" s="17" t="s">
        <v>97</v>
      </c>
      <c r="F68" s="18"/>
      <c r="G68" s="16">
        <f t="shared" ref="G68:G70" si="8">H68+V68</f>
        <v>2</v>
      </c>
      <c r="H68" s="16">
        <v>2</v>
      </c>
      <c r="I68" s="14">
        <v>2</v>
      </c>
      <c r="J68" s="14">
        <v>2</v>
      </c>
      <c r="K68" s="14">
        <v>2</v>
      </c>
      <c r="L68" s="14">
        <v>2</v>
      </c>
      <c r="M68" s="14">
        <v>2</v>
      </c>
      <c r="N68" s="14">
        <v>2</v>
      </c>
      <c r="O68" s="14">
        <v>2</v>
      </c>
      <c r="P68" s="14">
        <v>2</v>
      </c>
      <c r="Q68" s="14">
        <v>2</v>
      </c>
      <c r="R68" s="14">
        <v>2</v>
      </c>
      <c r="S68" s="14">
        <v>2</v>
      </c>
      <c r="T68" s="14">
        <v>2</v>
      </c>
      <c r="U68" s="14">
        <v>2</v>
      </c>
      <c r="V68" s="2">
        <v>0</v>
      </c>
      <c r="W68" s="14">
        <v>0</v>
      </c>
      <c r="X68" s="14">
        <v>0</v>
      </c>
      <c r="Y68" s="14">
        <v>0</v>
      </c>
      <c r="Z68" s="14">
        <v>0</v>
      </c>
    </row>
    <row r="69" spans="1:26" x14ac:dyDescent="0.25">
      <c r="A69" s="22"/>
      <c r="B69" s="22"/>
      <c r="C69" s="47" t="s">
        <v>81</v>
      </c>
      <c r="D69" s="48"/>
      <c r="E69" s="17" t="s">
        <v>96</v>
      </c>
      <c r="F69" s="18"/>
      <c r="G69" s="16">
        <f t="shared" si="8"/>
        <v>2</v>
      </c>
      <c r="H69" s="16">
        <v>2</v>
      </c>
      <c r="I69" s="14">
        <v>2</v>
      </c>
      <c r="J69" s="14">
        <v>2</v>
      </c>
      <c r="K69" s="14">
        <v>2</v>
      </c>
      <c r="L69" s="14">
        <v>2</v>
      </c>
      <c r="M69" s="14">
        <v>2</v>
      </c>
      <c r="N69" s="14">
        <v>2</v>
      </c>
      <c r="O69" s="14">
        <v>2</v>
      </c>
      <c r="P69" s="14">
        <v>2</v>
      </c>
      <c r="Q69" s="14">
        <v>2</v>
      </c>
      <c r="R69" s="14">
        <v>2</v>
      </c>
      <c r="S69" s="14">
        <v>2</v>
      </c>
      <c r="T69" s="14">
        <v>2</v>
      </c>
      <c r="U69" s="14">
        <v>2</v>
      </c>
      <c r="V69" s="2">
        <v>0</v>
      </c>
      <c r="W69" s="14">
        <v>0</v>
      </c>
      <c r="X69" s="14">
        <v>0</v>
      </c>
      <c r="Y69" s="14">
        <v>0</v>
      </c>
      <c r="Z69" s="14">
        <v>0</v>
      </c>
    </row>
    <row r="70" spans="1:26" x14ac:dyDescent="0.25">
      <c r="A70" s="22"/>
      <c r="B70" s="22"/>
      <c r="C70" s="47" t="s">
        <v>80</v>
      </c>
      <c r="D70" s="48"/>
      <c r="E70" s="17" t="s">
        <v>99</v>
      </c>
      <c r="F70" s="18"/>
      <c r="G70" s="16">
        <f t="shared" si="8"/>
        <v>2</v>
      </c>
      <c r="H70" s="16">
        <v>2</v>
      </c>
      <c r="I70" s="14">
        <v>2</v>
      </c>
      <c r="J70" s="14">
        <v>2</v>
      </c>
      <c r="K70" s="14">
        <v>2</v>
      </c>
      <c r="L70" s="14">
        <v>2</v>
      </c>
      <c r="M70" s="14">
        <v>2</v>
      </c>
      <c r="N70" s="14">
        <v>2</v>
      </c>
      <c r="O70" s="14">
        <v>2</v>
      </c>
      <c r="P70" s="14">
        <v>2</v>
      </c>
      <c r="Q70" s="14">
        <v>2</v>
      </c>
      <c r="R70" s="14">
        <v>2</v>
      </c>
      <c r="S70" s="14">
        <v>2</v>
      </c>
      <c r="T70" s="14">
        <v>2</v>
      </c>
      <c r="U70" s="14">
        <v>2</v>
      </c>
      <c r="V70" s="2">
        <v>0</v>
      </c>
      <c r="W70" s="14">
        <v>0</v>
      </c>
      <c r="X70" s="14">
        <v>0</v>
      </c>
      <c r="Y70" s="14">
        <v>0</v>
      </c>
      <c r="Z70" s="14">
        <v>0</v>
      </c>
    </row>
    <row r="71" spans="1:26" x14ac:dyDescent="0.25">
      <c r="A71" s="22"/>
      <c r="B71" s="21" t="s">
        <v>30</v>
      </c>
      <c r="C71" s="47" t="s">
        <v>31</v>
      </c>
      <c r="D71" s="48"/>
      <c r="E71" s="17" t="s">
        <v>96</v>
      </c>
      <c r="F71" s="18"/>
      <c r="G71" s="16">
        <f>H71+W71</f>
        <v>2</v>
      </c>
      <c r="H71" s="16">
        <v>2</v>
      </c>
      <c r="I71" s="14">
        <v>2</v>
      </c>
      <c r="J71" s="14">
        <v>2</v>
      </c>
      <c r="K71" s="14">
        <v>2</v>
      </c>
      <c r="L71" s="14">
        <v>2</v>
      </c>
      <c r="M71" s="14">
        <v>2</v>
      </c>
      <c r="N71" s="14">
        <v>2</v>
      </c>
      <c r="O71" s="14">
        <v>2</v>
      </c>
      <c r="P71" s="14">
        <v>2</v>
      </c>
      <c r="Q71" s="14">
        <v>2</v>
      </c>
      <c r="R71" s="14">
        <v>2</v>
      </c>
      <c r="S71" s="14">
        <v>2</v>
      </c>
      <c r="T71" s="14">
        <v>2</v>
      </c>
      <c r="U71" s="14">
        <v>2</v>
      </c>
      <c r="V71" s="14">
        <v>2</v>
      </c>
      <c r="W71" s="2">
        <v>0</v>
      </c>
      <c r="X71" s="14">
        <v>0</v>
      </c>
      <c r="Y71" s="14">
        <v>0</v>
      </c>
      <c r="Z71" s="14">
        <v>0</v>
      </c>
    </row>
    <row r="72" spans="1:26" x14ac:dyDescent="0.25">
      <c r="A72" s="22"/>
      <c r="B72" s="22"/>
      <c r="C72" s="47" t="s">
        <v>56</v>
      </c>
      <c r="D72" s="48"/>
      <c r="E72" s="17" t="s">
        <v>97</v>
      </c>
      <c r="F72" s="18"/>
      <c r="G72" s="16">
        <f t="shared" ref="G72:G75" si="9">H72+W72</f>
        <v>2</v>
      </c>
      <c r="H72" s="16">
        <v>2</v>
      </c>
      <c r="I72" s="14">
        <v>2</v>
      </c>
      <c r="J72" s="14">
        <v>2</v>
      </c>
      <c r="K72" s="14">
        <v>2</v>
      </c>
      <c r="L72" s="14">
        <v>2</v>
      </c>
      <c r="M72" s="14">
        <v>2</v>
      </c>
      <c r="N72" s="14">
        <v>2</v>
      </c>
      <c r="O72" s="14">
        <v>2</v>
      </c>
      <c r="P72" s="14">
        <v>2</v>
      </c>
      <c r="Q72" s="14">
        <v>2</v>
      </c>
      <c r="R72" s="14">
        <v>2</v>
      </c>
      <c r="S72" s="14">
        <v>2</v>
      </c>
      <c r="T72" s="14">
        <v>2</v>
      </c>
      <c r="U72" s="14">
        <v>2</v>
      </c>
      <c r="V72" s="14">
        <v>2</v>
      </c>
      <c r="W72" s="2">
        <v>0</v>
      </c>
      <c r="X72" s="14">
        <v>0</v>
      </c>
      <c r="Y72" s="14">
        <v>0</v>
      </c>
      <c r="Z72" s="14">
        <v>0</v>
      </c>
    </row>
    <row r="73" spans="1:26" x14ac:dyDescent="0.25">
      <c r="A73" s="22"/>
      <c r="B73" s="22"/>
      <c r="C73" s="47" t="s">
        <v>57</v>
      </c>
      <c r="D73" s="48"/>
      <c r="E73" s="17" t="s">
        <v>98</v>
      </c>
      <c r="F73" s="18"/>
      <c r="G73" s="16">
        <f t="shared" si="9"/>
        <v>2</v>
      </c>
      <c r="H73" s="16">
        <v>2</v>
      </c>
      <c r="I73" s="14">
        <v>2</v>
      </c>
      <c r="J73" s="14">
        <v>2</v>
      </c>
      <c r="K73" s="14">
        <v>2</v>
      </c>
      <c r="L73" s="14">
        <v>2</v>
      </c>
      <c r="M73" s="14">
        <v>2</v>
      </c>
      <c r="N73" s="14">
        <v>2</v>
      </c>
      <c r="O73" s="14">
        <v>2</v>
      </c>
      <c r="P73" s="14">
        <v>2</v>
      </c>
      <c r="Q73" s="14">
        <v>2</v>
      </c>
      <c r="R73" s="14">
        <v>2</v>
      </c>
      <c r="S73" s="14">
        <v>2</v>
      </c>
      <c r="T73" s="14">
        <v>2</v>
      </c>
      <c r="U73" s="14">
        <v>2</v>
      </c>
      <c r="V73" s="14">
        <v>2</v>
      </c>
      <c r="W73" s="2">
        <v>0</v>
      </c>
      <c r="X73" s="14">
        <v>0</v>
      </c>
      <c r="Y73" s="14">
        <v>0</v>
      </c>
      <c r="Z73" s="14">
        <v>0</v>
      </c>
    </row>
    <row r="74" spans="1:26" x14ac:dyDescent="0.25">
      <c r="A74" s="22"/>
      <c r="B74" s="22"/>
      <c r="C74" s="47" t="s">
        <v>84</v>
      </c>
      <c r="D74" s="48"/>
      <c r="E74" s="17" t="s">
        <v>99</v>
      </c>
      <c r="F74" s="18"/>
      <c r="G74" s="16">
        <f t="shared" si="9"/>
        <v>2</v>
      </c>
      <c r="H74" s="16">
        <v>2</v>
      </c>
      <c r="I74" s="14">
        <v>2</v>
      </c>
      <c r="J74" s="14">
        <v>2</v>
      </c>
      <c r="K74" s="14">
        <v>2</v>
      </c>
      <c r="L74" s="14">
        <v>2</v>
      </c>
      <c r="M74" s="14">
        <v>2</v>
      </c>
      <c r="N74" s="14">
        <v>2</v>
      </c>
      <c r="O74" s="14">
        <v>2</v>
      </c>
      <c r="P74" s="14">
        <v>2</v>
      </c>
      <c r="Q74" s="14">
        <v>2</v>
      </c>
      <c r="R74" s="14">
        <v>2</v>
      </c>
      <c r="S74" s="14">
        <v>2</v>
      </c>
      <c r="T74" s="14">
        <v>2</v>
      </c>
      <c r="U74" s="14">
        <v>2</v>
      </c>
      <c r="V74" s="14">
        <v>2</v>
      </c>
      <c r="W74" s="2">
        <v>0</v>
      </c>
      <c r="X74" s="14">
        <v>0</v>
      </c>
      <c r="Y74" s="14">
        <v>0</v>
      </c>
      <c r="Z74" s="14">
        <v>0</v>
      </c>
    </row>
    <row r="75" spans="1:26" x14ac:dyDescent="0.25">
      <c r="A75" s="22"/>
      <c r="B75" s="22"/>
      <c r="C75" s="47" t="s">
        <v>87</v>
      </c>
      <c r="D75" s="48"/>
      <c r="E75" s="17" t="s">
        <v>100</v>
      </c>
      <c r="F75" s="18"/>
      <c r="G75" s="16">
        <f t="shared" si="9"/>
        <v>2</v>
      </c>
      <c r="H75" s="16">
        <v>2</v>
      </c>
      <c r="I75" s="14">
        <v>2</v>
      </c>
      <c r="J75" s="14">
        <v>2</v>
      </c>
      <c r="K75" s="14">
        <v>2</v>
      </c>
      <c r="L75" s="14">
        <v>2</v>
      </c>
      <c r="M75" s="14">
        <v>2</v>
      </c>
      <c r="N75" s="14">
        <v>2</v>
      </c>
      <c r="O75" s="14">
        <v>2</v>
      </c>
      <c r="P75" s="14">
        <v>2</v>
      </c>
      <c r="Q75" s="14">
        <v>2</v>
      </c>
      <c r="R75" s="14">
        <v>2</v>
      </c>
      <c r="S75" s="14">
        <v>2</v>
      </c>
      <c r="T75" s="14">
        <v>2</v>
      </c>
      <c r="U75" s="14">
        <v>2</v>
      </c>
      <c r="V75" s="14">
        <v>2</v>
      </c>
      <c r="W75" s="2">
        <v>0</v>
      </c>
      <c r="X75" s="14">
        <v>0</v>
      </c>
      <c r="Y75" s="14">
        <v>0</v>
      </c>
      <c r="Z75" s="14">
        <v>0</v>
      </c>
    </row>
    <row r="76" spans="1:26" x14ac:dyDescent="0.25">
      <c r="A76" s="22"/>
      <c r="B76" s="22"/>
      <c r="C76" s="47" t="s">
        <v>90</v>
      </c>
      <c r="D76" s="48"/>
      <c r="E76" s="17" t="s">
        <v>100</v>
      </c>
      <c r="F76" s="18"/>
      <c r="G76" s="16">
        <f>H76+X76</f>
        <v>2</v>
      </c>
      <c r="H76" s="16">
        <v>2</v>
      </c>
      <c r="I76" s="14">
        <v>2</v>
      </c>
      <c r="J76" s="14">
        <v>2</v>
      </c>
      <c r="K76" s="14">
        <v>2</v>
      </c>
      <c r="L76" s="14">
        <v>2</v>
      </c>
      <c r="M76" s="14">
        <v>2</v>
      </c>
      <c r="N76" s="14">
        <v>2</v>
      </c>
      <c r="O76" s="14">
        <v>2</v>
      </c>
      <c r="P76" s="14">
        <v>2</v>
      </c>
      <c r="Q76" s="14">
        <v>2</v>
      </c>
      <c r="R76" s="14">
        <v>2</v>
      </c>
      <c r="S76" s="14">
        <v>2</v>
      </c>
      <c r="T76" s="14">
        <v>2</v>
      </c>
      <c r="U76" s="14">
        <v>2</v>
      </c>
      <c r="V76" s="14">
        <v>2</v>
      </c>
      <c r="W76" s="14">
        <v>2</v>
      </c>
      <c r="X76" s="2">
        <v>0</v>
      </c>
      <c r="Y76" s="14">
        <v>0</v>
      </c>
      <c r="Z76" s="14">
        <v>0</v>
      </c>
    </row>
    <row r="77" spans="1:26" x14ac:dyDescent="0.25">
      <c r="A77" s="22"/>
      <c r="B77" s="22"/>
      <c r="C77" s="47" t="s">
        <v>93</v>
      </c>
      <c r="D77" s="48"/>
      <c r="E77" s="17" t="s">
        <v>97</v>
      </c>
      <c r="F77" s="18"/>
      <c r="G77" s="16">
        <f t="shared" ref="G77:G79" si="10">H77+X77</f>
        <v>2</v>
      </c>
      <c r="H77" s="16">
        <v>2</v>
      </c>
      <c r="I77" s="14">
        <v>2</v>
      </c>
      <c r="J77" s="14">
        <v>2</v>
      </c>
      <c r="K77" s="14">
        <v>2</v>
      </c>
      <c r="L77" s="14">
        <v>2</v>
      </c>
      <c r="M77" s="14">
        <v>2</v>
      </c>
      <c r="N77" s="14">
        <v>2</v>
      </c>
      <c r="O77" s="14">
        <v>2</v>
      </c>
      <c r="P77" s="14">
        <v>2</v>
      </c>
      <c r="Q77" s="14">
        <v>2</v>
      </c>
      <c r="R77" s="14">
        <v>2</v>
      </c>
      <c r="S77" s="14">
        <v>2</v>
      </c>
      <c r="T77" s="14">
        <v>2</v>
      </c>
      <c r="U77" s="14">
        <v>2</v>
      </c>
      <c r="V77" s="14">
        <v>2</v>
      </c>
      <c r="W77" s="14">
        <v>2</v>
      </c>
      <c r="X77" s="2">
        <v>0</v>
      </c>
      <c r="Y77" s="14">
        <v>0</v>
      </c>
      <c r="Z77" s="14">
        <v>0</v>
      </c>
    </row>
    <row r="78" spans="1:26" x14ac:dyDescent="0.25">
      <c r="A78" s="22"/>
      <c r="B78" s="22"/>
      <c r="C78" s="47" t="s">
        <v>110</v>
      </c>
      <c r="D78" s="48"/>
      <c r="E78" s="17" t="s">
        <v>98</v>
      </c>
      <c r="F78" s="18"/>
      <c r="G78" s="16">
        <f t="shared" si="10"/>
        <v>2</v>
      </c>
      <c r="H78" s="16">
        <v>2</v>
      </c>
      <c r="I78" s="14">
        <v>2</v>
      </c>
      <c r="J78" s="14">
        <v>2</v>
      </c>
      <c r="K78" s="14">
        <v>2</v>
      </c>
      <c r="L78" s="14">
        <v>2</v>
      </c>
      <c r="M78" s="14">
        <v>2</v>
      </c>
      <c r="N78" s="14">
        <v>2</v>
      </c>
      <c r="O78" s="14">
        <v>2</v>
      </c>
      <c r="P78" s="14">
        <v>2</v>
      </c>
      <c r="Q78" s="14">
        <v>2</v>
      </c>
      <c r="R78" s="14">
        <v>2</v>
      </c>
      <c r="S78" s="14">
        <v>2</v>
      </c>
      <c r="T78" s="14">
        <v>2</v>
      </c>
      <c r="U78" s="14">
        <v>2</v>
      </c>
      <c r="V78" s="14">
        <v>2</v>
      </c>
      <c r="W78" s="14">
        <v>2</v>
      </c>
      <c r="X78" s="2">
        <v>0</v>
      </c>
      <c r="Y78" s="14">
        <v>0</v>
      </c>
      <c r="Z78" s="14">
        <v>0</v>
      </c>
    </row>
    <row r="79" spans="1:26" x14ac:dyDescent="0.25">
      <c r="A79" s="22"/>
      <c r="B79" s="23"/>
      <c r="C79" s="47" t="s">
        <v>79</v>
      </c>
      <c r="D79" s="48"/>
      <c r="E79" s="19" t="s">
        <v>99</v>
      </c>
      <c r="F79" s="20"/>
      <c r="G79" s="16">
        <f t="shared" si="10"/>
        <v>2</v>
      </c>
      <c r="H79" s="16">
        <v>2</v>
      </c>
      <c r="I79" s="14">
        <v>2</v>
      </c>
      <c r="J79" s="14">
        <v>2</v>
      </c>
      <c r="K79" s="14">
        <v>2</v>
      </c>
      <c r="L79" s="14">
        <v>2</v>
      </c>
      <c r="M79" s="14">
        <v>2</v>
      </c>
      <c r="N79" s="14">
        <v>2</v>
      </c>
      <c r="O79" s="14">
        <v>2</v>
      </c>
      <c r="P79" s="14">
        <v>2</v>
      </c>
      <c r="Q79" s="14">
        <v>2</v>
      </c>
      <c r="R79" s="14">
        <v>2</v>
      </c>
      <c r="S79" s="14">
        <v>2</v>
      </c>
      <c r="T79" s="14">
        <v>2</v>
      </c>
      <c r="U79" s="14">
        <v>2</v>
      </c>
      <c r="V79" s="14">
        <v>2</v>
      </c>
      <c r="W79" s="14">
        <v>2</v>
      </c>
      <c r="X79" s="2">
        <v>0</v>
      </c>
      <c r="Y79" s="14">
        <v>0</v>
      </c>
      <c r="Z79" s="14">
        <v>0</v>
      </c>
    </row>
    <row r="80" spans="1:26" x14ac:dyDescent="0.25">
      <c r="A80" s="22"/>
      <c r="B80" s="21" t="s">
        <v>32</v>
      </c>
      <c r="C80" s="47" t="s">
        <v>58</v>
      </c>
      <c r="D80" s="48"/>
      <c r="E80" s="17" t="s">
        <v>96</v>
      </c>
      <c r="F80" s="18"/>
      <c r="G80" s="16">
        <f>H80+Y80</f>
        <v>2</v>
      </c>
      <c r="H80" s="16">
        <v>2</v>
      </c>
      <c r="I80" s="14">
        <v>2</v>
      </c>
      <c r="J80" s="14">
        <v>2</v>
      </c>
      <c r="K80" s="14">
        <v>2</v>
      </c>
      <c r="L80" s="14">
        <v>2</v>
      </c>
      <c r="M80" s="14">
        <v>2</v>
      </c>
      <c r="N80" s="14">
        <v>2</v>
      </c>
      <c r="O80" s="14">
        <v>2</v>
      </c>
      <c r="P80" s="14">
        <v>2</v>
      </c>
      <c r="Q80" s="14">
        <v>2</v>
      </c>
      <c r="R80" s="14">
        <v>2</v>
      </c>
      <c r="S80" s="14">
        <v>2</v>
      </c>
      <c r="T80" s="14">
        <v>2</v>
      </c>
      <c r="U80" s="14">
        <v>2</v>
      </c>
      <c r="V80" s="14">
        <v>2</v>
      </c>
      <c r="W80" s="14">
        <v>2</v>
      </c>
      <c r="X80" s="14">
        <v>2</v>
      </c>
      <c r="Y80" s="2">
        <v>0</v>
      </c>
      <c r="Z80" s="14">
        <v>0</v>
      </c>
    </row>
    <row r="81" spans="1:26" x14ac:dyDescent="0.25">
      <c r="A81" s="22"/>
      <c r="B81" s="22"/>
      <c r="C81" s="47" t="s">
        <v>59</v>
      </c>
      <c r="D81" s="48"/>
      <c r="E81" s="17" t="s">
        <v>97</v>
      </c>
      <c r="F81" s="18"/>
      <c r="G81" s="16">
        <f t="shared" ref="G81:G88" si="11">H81+Y81</f>
        <v>2</v>
      </c>
      <c r="H81" s="16">
        <v>2</v>
      </c>
      <c r="I81" s="14">
        <v>2</v>
      </c>
      <c r="J81" s="14">
        <v>2</v>
      </c>
      <c r="K81" s="14">
        <v>2</v>
      </c>
      <c r="L81" s="14">
        <v>2</v>
      </c>
      <c r="M81" s="14">
        <v>2</v>
      </c>
      <c r="N81" s="14">
        <v>2</v>
      </c>
      <c r="O81" s="14">
        <v>2</v>
      </c>
      <c r="P81" s="14">
        <v>2</v>
      </c>
      <c r="Q81" s="14">
        <v>2</v>
      </c>
      <c r="R81" s="14">
        <v>2</v>
      </c>
      <c r="S81" s="14">
        <v>2</v>
      </c>
      <c r="T81" s="14">
        <v>2</v>
      </c>
      <c r="U81" s="14">
        <v>2</v>
      </c>
      <c r="V81" s="14">
        <v>2</v>
      </c>
      <c r="W81" s="14">
        <v>2</v>
      </c>
      <c r="X81" s="14">
        <v>2</v>
      </c>
      <c r="Y81" s="2">
        <v>0</v>
      </c>
      <c r="Z81" s="14">
        <v>0</v>
      </c>
    </row>
    <row r="82" spans="1:26" x14ac:dyDescent="0.25">
      <c r="A82" s="22"/>
      <c r="B82" s="22"/>
      <c r="C82" s="47" t="s">
        <v>60</v>
      </c>
      <c r="D82" s="48"/>
      <c r="E82" s="17" t="s">
        <v>98</v>
      </c>
      <c r="F82" s="18"/>
      <c r="G82" s="16">
        <f t="shared" si="11"/>
        <v>2</v>
      </c>
      <c r="H82" s="16">
        <v>2</v>
      </c>
      <c r="I82" s="14">
        <v>2</v>
      </c>
      <c r="J82" s="14">
        <v>2</v>
      </c>
      <c r="K82" s="14">
        <v>2</v>
      </c>
      <c r="L82" s="14">
        <v>2</v>
      </c>
      <c r="M82" s="14">
        <v>2</v>
      </c>
      <c r="N82" s="14">
        <v>2</v>
      </c>
      <c r="O82" s="14">
        <v>2</v>
      </c>
      <c r="P82" s="14">
        <v>2</v>
      </c>
      <c r="Q82" s="14">
        <v>2</v>
      </c>
      <c r="R82" s="14">
        <v>2</v>
      </c>
      <c r="S82" s="14">
        <v>2</v>
      </c>
      <c r="T82" s="14">
        <v>2</v>
      </c>
      <c r="U82" s="14">
        <v>2</v>
      </c>
      <c r="V82" s="14">
        <v>2</v>
      </c>
      <c r="W82" s="14">
        <v>2</v>
      </c>
      <c r="X82" s="14">
        <v>2</v>
      </c>
      <c r="Y82" s="2">
        <v>0</v>
      </c>
      <c r="Z82" s="14">
        <v>0</v>
      </c>
    </row>
    <row r="83" spans="1:26" x14ac:dyDescent="0.25">
      <c r="A83" s="22"/>
      <c r="B83" s="22"/>
      <c r="C83" s="47" t="s">
        <v>85</v>
      </c>
      <c r="D83" s="48"/>
      <c r="E83" s="17" t="s">
        <v>99</v>
      </c>
      <c r="F83" s="18"/>
      <c r="G83" s="16">
        <f t="shared" si="11"/>
        <v>2</v>
      </c>
      <c r="H83" s="16">
        <v>2</v>
      </c>
      <c r="I83" s="14">
        <v>2</v>
      </c>
      <c r="J83" s="14">
        <v>2</v>
      </c>
      <c r="K83" s="14">
        <v>2</v>
      </c>
      <c r="L83" s="14">
        <v>2</v>
      </c>
      <c r="M83" s="14">
        <v>2</v>
      </c>
      <c r="N83" s="14">
        <v>2</v>
      </c>
      <c r="O83" s="14">
        <v>2</v>
      </c>
      <c r="P83" s="14">
        <v>2</v>
      </c>
      <c r="Q83" s="14">
        <v>2</v>
      </c>
      <c r="R83" s="14">
        <v>2</v>
      </c>
      <c r="S83" s="14">
        <v>2</v>
      </c>
      <c r="T83" s="14">
        <v>2</v>
      </c>
      <c r="U83" s="14">
        <v>2</v>
      </c>
      <c r="V83" s="14">
        <v>2</v>
      </c>
      <c r="W83" s="14">
        <v>2</v>
      </c>
      <c r="X83" s="14">
        <v>2</v>
      </c>
      <c r="Y83" s="2">
        <v>0</v>
      </c>
      <c r="Z83" s="14">
        <v>0</v>
      </c>
    </row>
    <row r="84" spans="1:26" x14ac:dyDescent="0.25">
      <c r="A84" s="22"/>
      <c r="B84" s="22"/>
      <c r="C84" s="47" t="s">
        <v>88</v>
      </c>
      <c r="D84" s="48"/>
      <c r="E84" s="17" t="s">
        <v>100</v>
      </c>
      <c r="F84" s="18"/>
      <c r="G84" s="16">
        <f t="shared" si="11"/>
        <v>2</v>
      </c>
      <c r="H84" s="16">
        <v>2</v>
      </c>
      <c r="I84" s="14">
        <v>2</v>
      </c>
      <c r="J84" s="14">
        <v>2</v>
      </c>
      <c r="K84" s="14">
        <v>2</v>
      </c>
      <c r="L84" s="14">
        <v>2</v>
      </c>
      <c r="M84" s="14">
        <v>2</v>
      </c>
      <c r="N84" s="14">
        <v>2</v>
      </c>
      <c r="O84" s="14">
        <v>2</v>
      </c>
      <c r="P84" s="14">
        <v>2</v>
      </c>
      <c r="Q84" s="14">
        <v>2</v>
      </c>
      <c r="R84" s="14">
        <v>2</v>
      </c>
      <c r="S84" s="14">
        <v>2</v>
      </c>
      <c r="T84" s="14">
        <v>2</v>
      </c>
      <c r="U84" s="14">
        <v>2</v>
      </c>
      <c r="V84" s="14">
        <v>2</v>
      </c>
      <c r="W84" s="14">
        <v>2</v>
      </c>
      <c r="X84" s="14">
        <v>2</v>
      </c>
      <c r="Y84" s="2">
        <v>0</v>
      </c>
      <c r="Z84" s="14">
        <v>0</v>
      </c>
    </row>
    <row r="85" spans="1:26" x14ac:dyDescent="0.25">
      <c r="A85" s="22"/>
      <c r="B85" s="22"/>
      <c r="C85" s="47" t="s">
        <v>109</v>
      </c>
      <c r="D85" s="48"/>
      <c r="E85" s="19" t="s">
        <v>96</v>
      </c>
      <c r="F85" s="20"/>
      <c r="G85" s="16">
        <f t="shared" si="11"/>
        <v>2</v>
      </c>
      <c r="H85" s="16">
        <v>2</v>
      </c>
      <c r="I85" s="14">
        <v>2</v>
      </c>
      <c r="J85" s="14">
        <v>2</v>
      </c>
      <c r="K85" s="14">
        <v>2</v>
      </c>
      <c r="L85" s="14">
        <v>2</v>
      </c>
      <c r="M85" s="14">
        <v>2</v>
      </c>
      <c r="N85" s="14">
        <v>2</v>
      </c>
      <c r="O85" s="14">
        <v>2</v>
      </c>
      <c r="P85" s="14">
        <v>2</v>
      </c>
      <c r="Q85" s="14">
        <v>2</v>
      </c>
      <c r="R85" s="14">
        <v>2</v>
      </c>
      <c r="S85" s="14">
        <v>2</v>
      </c>
      <c r="T85" s="14">
        <v>2</v>
      </c>
      <c r="U85" s="14">
        <v>2</v>
      </c>
      <c r="V85" s="14">
        <v>2</v>
      </c>
      <c r="W85" s="14">
        <v>2</v>
      </c>
      <c r="X85" s="14">
        <v>2</v>
      </c>
      <c r="Y85" s="2">
        <v>0</v>
      </c>
      <c r="Z85" s="14">
        <v>0</v>
      </c>
    </row>
    <row r="86" spans="1:26" x14ac:dyDescent="0.25">
      <c r="A86" s="22"/>
      <c r="B86" s="22"/>
      <c r="C86" s="47" t="s">
        <v>91</v>
      </c>
      <c r="D86" s="48"/>
      <c r="E86" s="19" t="s">
        <v>100</v>
      </c>
      <c r="F86" s="20"/>
      <c r="G86" s="16">
        <f t="shared" si="11"/>
        <v>2</v>
      </c>
      <c r="H86" s="16">
        <v>2</v>
      </c>
      <c r="I86" s="14">
        <v>2</v>
      </c>
      <c r="J86" s="14">
        <v>2</v>
      </c>
      <c r="K86" s="14">
        <v>2</v>
      </c>
      <c r="L86" s="14">
        <v>2</v>
      </c>
      <c r="M86" s="14">
        <v>2</v>
      </c>
      <c r="N86" s="14">
        <v>2</v>
      </c>
      <c r="O86" s="14">
        <v>2</v>
      </c>
      <c r="P86" s="14">
        <v>2</v>
      </c>
      <c r="Q86" s="14">
        <v>2</v>
      </c>
      <c r="R86" s="14">
        <v>2</v>
      </c>
      <c r="S86" s="14">
        <v>2</v>
      </c>
      <c r="T86" s="14">
        <v>2</v>
      </c>
      <c r="U86" s="14">
        <v>2</v>
      </c>
      <c r="V86" s="14">
        <v>2</v>
      </c>
      <c r="W86" s="14">
        <v>2</v>
      </c>
      <c r="X86" s="14">
        <v>2</v>
      </c>
      <c r="Y86" s="2">
        <v>0</v>
      </c>
      <c r="Z86" s="14">
        <v>0</v>
      </c>
    </row>
    <row r="87" spans="1:26" x14ac:dyDescent="0.25">
      <c r="A87" s="22"/>
      <c r="B87" s="22"/>
      <c r="C87" s="47" t="s">
        <v>82</v>
      </c>
      <c r="D87" s="48"/>
      <c r="E87" s="19" t="s">
        <v>98</v>
      </c>
      <c r="F87" s="20"/>
      <c r="G87" s="16">
        <f t="shared" si="11"/>
        <v>2</v>
      </c>
      <c r="H87" s="16">
        <v>2</v>
      </c>
      <c r="I87" s="14">
        <v>2</v>
      </c>
      <c r="J87" s="14">
        <v>2</v>
      </c>
      <c r="K87" s="14">
        <v>2</v>
      </c>
      <c r="L87" s="14">
        <v>2</v>
      </c>
      <c r="M87" s="14">
        <v>2</v>
      </c>
      <c r="N87" s="14">
        <v>2</v>
      </c>
      <c r="O87" s="14">
        <v>2</v>
      </c>
      <c r="P87" s="14">
        <v>2</v>
      </c>
      <c r="Q87" s="14">
        <v>2</v>
      </c>
      <c r="R87" s="14">
        <v>2</v>
      </c>
      <c r="S87" s="14">
        <v>2</v>
      </c>
      <c r="T87" s="14">
        <v>2</v>
      </c>
      <c r="U87" s="14">
        <v>2</v>
      </c>
      <c r="V87" s="14">
        <v>2</v>
      </c>
      <c r="W87" s="14">
        <v>2</v>
      </c>
      <c r="X87" s="14">
        <v>2</v>
      </c>
      <c r="Y87" s="2">
        <v>0</v>
      </c>
      <c r="Z87" s="14">
        <v>0</v>
      </c>
    </row>
    <row r="88" spans="1:26" x14ac:dyDescent="0.25">
      <c r="A88" s="22"/>
      <c r="B88" s="22"/>
      <c r="C88" s="47" t="s">
        <v>78</v>
      </c>
      <c r="D88" s="48"/>
      <c r="E88" s="19" t="s">
        <v>99</v>
      </c>
      <c r="F88" s="20"/>
      <c r="G88" s="16">
        <f t="shared" si="11"/>
        <v>2</v>
      </c>
      <c r="H88" s="16">
        <v>2</v>
      </c>
      <c r="I88" s="14">
        <v>2</v>
      </c>
      <c r="J88" s="14">
        <v>2</v>
      </c>
      <c r="K88" s="14">
        <v>2</v>
      </c>
      <c r="L88" s="14">
        <v>2</v>
      </c>
      <c r="M88" s="14">
        <v>2</v>
      </c>
      <c r="N88" s="14">
        <v>2</v>
      </c>
      <c r="O88" s="14">
        <v>2</v>
      </c>
      <c r="P88" s="14">
        <v>2</v>
      </c>
      <c r="Q88" s="14">
        <v>2</v>
      </c>
      <c r="R88" s="14">
        <v>2</v>
      </c>
      <c r="S88" s="14">
        <v>2</v>
      </c>
      <c r="T88" s="14">
        <v>2</v>
      </c>
      <c r="U88" s="14">
        <v>2</v>
      </c>
      <c r="V88" s="14">
        <v>2</v>
      </c>
      <c r="W88" s="14">
        <v>2</v>
      </c>
      <c r="X88" s="14">
        <v>2</v>
      </c>
      <c r="Y88" s="2">
        <v>0</v>
      </c>
      <c r="Z88" s="14">
        <v>0</v>
      </c>
    </row>
    <row r="89" spans="1:26" x14ac:dyDescent="0.25">
      <c r="A89" s="22"/>
      <c r="B89" s="21" t="s">
        <v>33</v>
      </c>
      <c r="C89" s="47" t="s">
        <v>34</v>
      </c>
      <c r="D89" s="48"/>
      <c r="E89" s="19" t="s">
        <v>19</v>
      </c>
      <c r="F89" s="20"/>
      <c r="G89" s="16">
        <f>H89+Z89</f>
        <v>10</v>
      </c>
      <c r="H89" s="16">
        <v>10</v>
      </c>
      <c r="I89" s="14">
        <v>10</v>
      </c>
      <c r="J89" s="14">
        <v>10</v>
      </c>
      <c r="K89" s="14">
        <v>10</v>
      </c>
      <c r="L89" s="14">
        <v>10</v>
      </c>
      <c r="M89" s="14">
        <v>10</v>
      </c>
      <c r="N89" s="14">
        <v>10</v>
      </c>
      <c r="O89" s="14">
        <v>10</v>
      </c>
      <c r="P89" s="14">
        <v>10</v>
      </c>
      <c r="Q89" s="14">
        <v>10</v>
      </c>
      <c r="R89" s="14">
        <v>10</v>
      </c>
      <c r="S89" s="14">
        <v>10</v>
      </c>
      <c r="T89" s="14">
        <v>10</v>
      </c>
      <c r="U89" s="14">
        <v>10</v>
      </c>
      <c r="V89" s="14">
        <v>10</v>
      </c>
      <c r="W89" s="14">
        <v>10</v>
      </c>
      <c r="X89" s="14">
        <v>10</v>
      </c>
      <c r="Y89" s="14">
        <v>10</v>
      </c>
      <c r="Z89" s="2">
        <v>0</v>
      </c>
    </row>
    <row r="90" spans="1:26" x14ac:dyDescent="0.25">
      <c r="A90" s="22"/>
      <c r="B90" s="23"/>
      <c r="C90" s="47" t="s">
        <v>35</v>
      </c>
      <c r="D90" s="48"/>
      <c r="E90" s="19" t="s">
        <v>19</v>
      </c>
      <c r="F90" s="20"/>
      <c r="G90" s="16">
        <f>H90+Z90</f>
        <v>10</v>
      </c>
      <c r="H90" s="16">
        <v>10</v>
      </c>
      <c r="I90" s="14">
        <v>10</v>
      </c>
      <c r="J90" s="14">
        <v>10</v>
      </c>
      <c r="K90" s="14">
        <v>10</v>
      </c>
      <c r="L90" s="14">
        <v>10</v>
      </c>
      <c r="M90" s="14">
        <v>10</v>
      </c>
      <c r="N90" s="14">
        <v>10</v>
      </c>
      <c r="O90" s="14">
        <v>10</v>
      </c>
      <c r="P90" s="14">
        <v>10</v>
      </c>
      <c r="Q90" s="14">
        <v>10</v>
      </c>
      <c r="R90" s="14">
        <v>10</v>
      </c>
      <c r="S90" s="14">
        <v>10</v>
      </c>
      <c r="T90" s="14">
        <v>10</v>
      </c>
      <c r="U90" s="14">
        <v>10</v>
      </c>
      <c r="V90" s="14">
        <v>10</v>
      </c>
      <c r="W90" s="14">
        <v>10</v>
      </c>
      <c r="X90" s="14">
        <v>10</v>
      </c>
      <c r="Y90" s="14">
        <v>10</v>
      </c>
      <c r="Z90" s="2">
        <v>0</v>
      </c>
    </row>
    <row r="91" spans="1:26" x14ac:dyDescent="0.25">
      <c r="A91" s="22"/>
      <c r="B91" s="26" t="s">
        <v>13</v>
      </c>
      <c r="C91" s="27"/>
      <c r="D91" s="28"/>
      <c r="E91" s="24" t="s">
        <v>11</v>
      </c>
      <c r="F91" s="25"/>
      <c r="G91" s="33">
        <f>SUM(G16:G90)</f>
        <v>192</v>
      </c>
      <c r="H91" s="33"/>
      <c r="I91" s="7">
        <f t="shared" ref="I91:R91" si="12">SUM(I16:I90)</f>
        <v>180</v>
      </c>
      <c r="J91" s="9">
        <f t="shared" si="12"/>
        <v>170</v>
      </c>
      <c r="K91" s="9">
        <f t="shared" si="12"/>
        <v>160</v>
      </c>
      <c r="L91" s="9">
        <f t="shared" si="12"/>
        <v>152</v>
      </c>
      <c r="M91" s="9">
        <f>SUM(M16:M90)+M29</f>
        <v>140</v>
      </c>
      <c r="N91" s="9">
        <f t="shared" si="12"/>
        <v>132</v>
      </c>
      <c r="O91" s="9">
        <f t="shared" si="12"/>
        <v>124</v>
      </c>
      <c r="P91" s="9">
        <f>SUM(P16:P90)+P40</f>
        <v>116</v>
      </c>
      <c r="Q91" s="9">
        <f t="shared" si="12"/>
        <v>102</v>
      </c>
      <c r="R91" s="9">
        <f t="shared" si="12"/>
        <v>92</v>
      </c>
      <c r="S91" s="9">
        <f>SUM(S16:S90)</f>
        <v>82</v>
      </c>
      <c r="T91" s="9">
        <f>SUM(T16:T90)+T58+T61</f>
        <v>78</v>
      </c>
      <c r="U91" s="9">
        <f t="shared" ref="U91:Z91" si="13">SUM(U16:U90)</f>
        <v>64</v>
      </c>
      <c r="V91" s="9">
        <f t="shared" si="13"/>
        <v>56</v>
      </c>
      <c r="W91" s="9">
        <f t="shared" si="13"/>
        <v>46</v>
      </c>
      <c r="X91" s="9">
        <f t="shared" si="13"/>
        <v>38</v>
      </c>
      <c r="Y91" s="9">
        <f t="shared" si="13"/>
        <v>20</v>
      </c>
      <c r="Z91" s="14">
        <f t="shared" si="13"/>
        <v>0</v>
      </c>
    </row>
    <row r="92" spans="1:26" x14ac:dyDescent="0.25">
      <c r="A92" s="23"/>
      <c r="B92" s="29"/>
      <c r="C92" s="30"/>
      <c r="D92" s="31"/>
      <c r="E92" s="24" t="s">
        <v>12</v>
      </c>
      <c r="F92" s="25"/>
      <c r="G92" s="33">
        <f>SUM(H16:H90)</f>
        <v>190</v>
      </c>
      <c r="H92" s="33"/>
      <c r="I92" s="7">
        <f>SUM(I16:I90)</f>
        <v>180</v>
      </c>
      <c r="J92" s="9">
        <f>SUM(J16:J90)</f>
        <v>170</v>
      </c>
      <c r="K92" s="9">
        <f>SUM(K16:K90)</f>
        <v>160</v>
      </c>
      <c r="L92" s="9">
        <f>SUM(L16:L90)</f>
        <v>152</v>
      </c>
      <c r="M92" s="9">
        <f>SUM(M16:M90)</f>
        <v>141</v>
      </c>
      <c r="N92" s="9">
        <f t="shared" ref="N92:Z92" si="14">SUM(N16:N90)</f>
        <v>132</v>
      </c>
      <c r="O92" s="9">
        <f t="shared" si="14"/>
        <v>124</v>
      </c>
      <c r="P92" s="9">
        <f t="shared" si="14"/>
        <v>115</v>
      </c>
      <c r="Q92" s="9">
        <f t="shared" si="14"/>
        <v>102</v>
      </c>
      <c r="R92" s="9">
        <f t="shared" si="14"/>
        <v>92</v>
      </c>
      <c r="S92" s="9">
        <f t="shared" si="14"/>
        <v>82</v>
      </c>
      <c r="T92" s="9">
        <f t="shared" si="14"/>
        <v>76</v>
      </c>
      <c r="U92" s="9">
        <f t="shared" si="14"/>
        <v>64</v>
      </c>
      <c r="V92" s="9">
        <f t="shared" si="14"/>
        <v>56</v>
      </c>
      <c r="W92" s="9">
        <f t="shared" si="14"/>
        <v>46</v>
      </c>
      <c r="X92" s="9">
        <f t="shared" si="14"/>
        <v>38</v>
      </c>
      <c r="Y92" s="14">
        <f t="shared" si="14"/>
        <v>20</v>
      </c>
      <c r="Z92" s="14">
        <f t="shared" si="14"/>
        <v>0</v>
      </c>
    </row>
    <row r="95" spans="1:26" x14ac:dyDescent="0.3"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</row>
    <row r="96" spans="1:26" x14ac:dyDescent="0.3"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</row>
    <row r="97" spans="3:22" x14ac:dyDescent="0.3"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</row>
    <row r="98" spans="3:22" x14ac:dyDescent="0.3"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</row>
    <row r="99" spans="3:22" x14ac:dyDescent="0.3"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</row>
    <row r="100" spans="3:22" x14ac:dyDescent="0.3"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</row>
    <row r="101" spans="3:22" x14ac:dyDescent="0.3"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</row>
    <row r="102" spans="3:22" x14ac:dyDescent="0.3"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</row>
    <row r="103" spans="3:22" x14ac:dyDescent="0.3"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</row>
    <row r="104" spans="3:22" x14ac:dyDescent="0.3"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</row>
    <row r="105" spans="3:22" x14ac:dyDescent="0.3"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</row>
    <row r="106" spans="3:22" x14ac:dyDescent="0.3"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</row>
    <row r="107" spans="3:22" x14ac:dyDescent="0.3"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</row>
    <row r="108" spans="3:22" x14ac:dyDescent="0.3"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</row>
    <row r="109" spans="3:22" x14ac:dyDescent="0.3"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</row>
    <row r="110" spans="3:22" x14ac:dyDescent="0.3"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 spans="3:22" x14ac:dyDescent="0.3"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</row>
    <row r="112" spans="3:22" x14ac:dyDescent="0.3"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</row>
    <row r="113" spans="3:22" x14ac:dyDescent="0.3"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</row>
    <row r="114" spans="3:22" x14ac:dyDescent="0.3"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</row>
    <row r="115" spans="3:22" x14ac:dyDescent="0.3"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</row>
    <row r="116" spans="3:22" x14ac:dyDescent="0.3"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</row>
    <row r="117" spans="3:22" x14ac:dyDescent="0.3"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</row>
    <row r="118" spans="3:22" x14ac:dyDescent="0.3"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</row>
    <row r="119" spans="3:22" x14ac:dyDescent="0.3"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</row>
    <row r="120" spans="3:22" x14ac:dyDescent="0.3"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</row>
    <row r="121" spans="3:22" x14ac:dyDescent="0.3"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</row>
    <row r="122" spans="3:22" x14ac:dyDescent="0.3"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</row>
    <row r="123" spans="3:22" x14ac:dyDescent="0.3"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</row>
    <row r="124" spans="3:22" x14ac:dyDescent="0.3"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</row>
    <row r="125" spans="3:22" x14ac:dyDescent="0.3"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</row>
    <row r="126" spans="3:22" x14ac:dyDescent="0.3"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</row>
    <row r="127" spans="3:22" x14ac:dyDescent="0.3"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</row>
    <row r="128" spans="3:22" x14ac:dyDescent="0.3"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</row>
    <row r="129" spans="3:22" x14ac:dyDescent="0.3"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</row>
    <row r="130" spans="3:22" x14ac:dyDescent="0.3"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</row>
  </sheetData>
  <mergeCells count="178">
    <mergeCell ref="C87:D87"/>
    <mergeCell ref="E87:F87"/>
    <mergeCell ref="A1:B1"/>
    <mergeCell ref="A2:B2"/>
    <mergeCell ref="A3:B3"/>
    <mergeCell ref="A4:B4"/>
    <mergeCell ref="B6:E6"/>
    <mergeCell ref="B13:C13"/>
    <mergeCell ref="C1:G1"/>
    <mergeCell ref="E64:F64"/>
    <mergeCell ref="E65:F65"/>
    <mergeCell ref="C15:D15"/>
    <mergeCell ref="E15:F15"/>
    <mergeCell ref="B16:D16"/>
    <mergeCell ref="E16:F16"/>
    <mergeCell ref="B17:D17"/>
    <mergeCell ref="E17:F17"/>
    <mergeCell ref="B18:D18"/>
    <mergeCell ref="E18:F18"/>
    <mergeCell ref="C23:D23"/>
    <mergeCell ref="E28:F28"/>
    <mergeCell ref="C30:D30"/>
    <mergeCell ref="E30:F30"/>
    <mergeCell ref="C34:D34"/>
    <mergeCell ref="E31:F31"/>
    <mergeCell ref="E32:F32"/>
    <mergeCell ref="C38:D38"/>
    <mergeCell ref="E38:F38"/>
    <mergeCell ref="C56:D56"/>
    <mergeCell ref="C26:D26"/>
    <mergeCell ref="E26:F26"/>
    <mergeCell ref="C27:D27"/>
    <mergeCell ref="E27:F27"/>
    <mergeCell ref="E33:F33"/>
    <mergeCell ref="E34:F34"/>
    <mergeCell ref="C33:D33"/>
    <mergeCell ref="C28:D28"/>
    <mergeCell ref="E46:F46"/>
    <mergeCell ref="E49:F49"/>
    <mergeCell ref="E47:F47"/>
    <mergeCell ref="E52:F52"/>
    <mergeCell ref="E53:F53"/>
    <mergeCell ref="E54:F54"/>
    <mergeCell ref="E55:F55"/>
    <mergeCell ref="C19:D19"/>
    <mergeCell ref="E19:F19"/>
    <mergeCell ref="C20:D20"/>
    <mergeCell ref="E20:F20"/>
    <mergeCell ref="C21:D21"/>
    <mergeCell ref="E21:F21"/>
    <mergeCell ref="C22:D22"/>
    <mergeCell ref="C24:D24"/>
    <mergeCell ref="C25:D25"/>
    <mergeCell ref="E25:F25"/>
    <mergeCell ref="E24:F24"/>
    <mergeCell ref="E23:F23"/>
    <mergeCell ref="E22:F22"/>
    <mergeCell ref="C35:D35"/>
    <mergeCell ref="C67:D67"/>
    <mergeCell ref="E59:F59"/>
    <mergeCell ref="C58:D58"/>
    <mergeCell ref="E58:F58"/>
    <mergeCell ref="C37:D37"/>
    <mergeCell ref="E37:F37"/>
    <mergeCell ref="C48:D48"/>
    <mergeCell ref="E48:F48"/>
    <mergeCell ref="C49:D49"/>
    <mergeCell ref="C47:D47"/>
    <mergeCell ref="E41:F41"/>
    <mergeCell ref="E42:F42"/>
    <mergeCell ref="E43:F43"/>
    <mergeCell ref="E44:F44"/>
    <mergeCell ref="E45:F45"/>
    <mergeCell ref="E71:F71"/>
    <mergeCell ref="B62:B70"/>
    <mergeCell ref="C62:D62"/>
    <mergeCell ref="E62:F62"/>
    <mergeCell ref="C63:D63"/>
    <mergeCell ref="E63:F63"/>
    <mergeCell ref="E67:F67"/>
    <mergeCell ref="C68:D68"/>
    <mergeCell ref="C64:D64"/>
    <mergeCell ref="B71:B79"/>
    <mergeCell ref="C36:D36"/>
    <mergeCell ref="G92:H92"/>
    <mergeCell ref="C2:G2"/>
    <mergeCell ref="C3:G3"/>
    <mergeCell ref="C4:G4"/>
    <mergeCell ref="C31:D31"/>
    <mergeCell ref="C32:D32"/>
    <mergeCell ref="C89:D89"/>
    <mergeCell ref="E89:F89"/>
    <mergeCell ref="C90:D90"/>
    <mergeCell ref="E90:F90"/>
    <mergeCell ref="E72:F72"/>
    <mergeCell ref="C80:D80"/>
    <mergeCell ref="E80:F80"/>
    <mergeCell ref="C66:D66"/>
    <mergeCell ref="E36:F36"/>
    <mergeCell ref="C41:D41"/>
    <mergeCell ref="C42:D42"/>
    <mergeCell ref="C43:D43"/>
    <mergeCell ref="C44:D44"/>
    <mergeCell ref="C45:D45"/>
    <mergeCell ref="C46:D46"/>
    <mergeCell ref="E35:F35"/>
    <mergeCell ref="K3:M3"/>
    <mergeCell ref="K4:M4"/>
    <mergeCell ref="K5:M5"/>
    <mergeCell ref="G91:H91"/>
    <mergeCell ref="C61:D61"/>
    <mergeCell ref="E61:F61"/>
    <mergeCell ref="E77:F77"/>
    <mergeCell ref="C77:D77"/>
    <mergeCell ref="C52:D52"/>
    <mergeCell ref="C51:D51"/>
    <mergeCell ref="E51:F51"/>
    <mergeCell ref="E57:F57"/>
    <mergeCell ref="C60:D60"/>
    <mergeCell ref="E60:F60"/>
    <mergeCell ref="C39:D39"/>
    <mergeCell ref="E39:F39"/>
    <mergeCell ref="C50:D50"/>
    <mergeCell ref="E50:F50"/>
    <mergeCell ref="C55:D55"/>
    <mergeCell ref="E56:F56"/>
    <mergeCell ref="C53:D53"/>
    <mergeCell ref="C54:D54"/>
    <mergeCell ref="E85:F85"/>
    <mergeCell ref="E81:F81"/>
    <mergeCell ref="A16:A92"/>
    <mergeCell ref="C29:D29"/>
    <mergeCell ref="E29:F29"/>
    <mergeCell ref="B30:B40"/>
    <mergeCell ref="C40:D40"/>
    <mergeCell ref="E40:F40"/>
    <mergeCell ref="C84:D84"/>
    <mergeCell ref="E84:F84"/>
    <mergeCell ref="B19:B29"/>
    <mergeCell ref="E92:F92"/>
    <mergeCell ref="E91:F91"/>
    <mergeCell ref="B91:D92"/>
    <mergeCell ref="E88:F88"/>
    <mergeCell ref="C88:D88"/>
    <mergeCell ref="C72:D72"/>
    <mergeCell ref="C73:D73"/>
    <mergeCell ref="C74:D74"/>
    <mergeCell ref="C75:D75"/>
    <mergeCell ref="B89:B90"/>
    <mergeCell ref="C79:D79"/>
    <mergeCell ref="E79:F79"/>
    <mergeCell ref="B80:B88"/>
    <mergeCell ref="B41:B61"/>
    <mergeCell ref="C57:D57"/>
    <mergeCell ref="C59:D59"/>
    <mergeCell ref="E82:F82"/>
    <mergeCell ref="E86:F86"/>
    <mergeCell ref="C86:D86"/>
    <mergeCell ref="C81:D81"/>
    <mergeCell ref="C82:D82"/>
    <mergeCell ref="C85:D85"/>
    <mergeCell ref="C83:D83"/>
    <mergeCell ref="C78:D78"/>
    <mergeCell ref="E78:F78"/>
    <mergeCell ref="E83:F83"/>
    <mergeCell ref="C76:D76"/>
    <mergeCell ref="E68:F68"/>
    <mergeCell ref="C69:D69"/>
    <mergeCell ref="E69:F69"/>
    <mergeCell ref="C70:D70"/>
    <mergeCell ref="E70:F70"/>
    <mergeCell ref="C65:D65"/>
    <mergeCell ref="E66:F66"/>
    <mergeCell ref="E73:F73"/>
    <mergeCell ref="E74:F74"/>
    <mergeCell ref="E75:F75"/>
    <mergeCell ref="E76:F76"/>
    <mergeCell ref="C71:D7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2026-03-22T08:13:20Z</dcterms:created>
  <dcterms:modified xsi:type="dcterms:W3CDTF">2026-04-10T13:52:36Z</dcterms:modified>
</cp:coreProperties>
</file>